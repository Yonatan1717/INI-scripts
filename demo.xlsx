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"/>
    </mc:Choice>
  </mc:AlternateContent>
  <xr:revisionPtr revIDLastSave="0" documentId="13_ncr:1_{76F3C545-E422-41E8-BD17-30F4FBE897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te 1 (HUB)" sheetId="1" r:id="rId1"/>
    <sheet name="Site 2" sheetId="2" r:id="rId2"/>
    <sheet name="Site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3" l="1"/>
  <c r="E23" i="3"/>
  <c r="I22" i="3"/>
  <c r="E22" i="3"/>
  <c r="A19" i="3"/>
  <c r="I16" i="3" a="1"/>
  <c r="I16" i="3" s="1"/>
  <c r="E16" i="3"/>
  <c r="C16" i="3"/>
  <c r="I15" i="3" a="1"/>
  <c r="I15" i="3" s="1"/>
  <c r="E15" i="3"/>
  <c r="C15" i="3"/>
  <c r="D12" i="3"/>
  <c r="D11" i="3"/>
  <c r="D10" i="3"/>
  <c r="H7" i="3"/>
  <c r="D7" i="3"/>
  <c r="H6" i="3"/>
  <c r="D6" i="3"/>
  <c r="H5" i="3"/>
  <c r="D5" i="3"/>
  <c r="C2" i="3"/>
  <c r="C23" i="2"/>
  <c r="D23" i="2"/>
  <c r="I23" i="2"/>
  <c r="E23" i="2"/>
  <c r="I22" i="2"/>
  <c r="E22" i="2"/>
  <c r="I22" i="1"/>
  <c r="A19" i="2"/>
  <c r="E22" i="1"/>
  <c r="A19" i="1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G7" i="3" l="1"/>
  <c r="E7" i="3"/>
  <c r="E6" i="3"/>
  <c r="G6" i="3"/>
  <c r="G5" i="3"/>
  <c r="E5" i="3"/>
  <c r="C22" i="1"/>
  <c r="E7" i="2"/>
  <c r="G7" i="2"/>
  <c r="E6" i="2"/>
  <c r="G6" i="2"/>
  <c r="E5" i="2"/>
  <c r="D22" i="2" s="1"/>
  <c r="G5" i="2"/>
  <c r="C22" i="2" s="1"/>
  <c r="E5" i="1"/>
  <c r="G6" i="1"/>
  <c r="G7" i="1"/>
  <c r="C22" i="3" l="1"/>
  <c r="C23" i="3"/>
  <c r="D22" i="3"/>
  <c r="D23" i="3"/>
  <c r="D22" i="1"/>
</calcChain>
</file>

<file path=xl/sharedStrings.xml><?xml version="1.0" encoding="utf-8"?>
<sst xmlns="http://schemas.openxmlformats.org/spreadsheetml/2006/main" count="219" uniqueCount="50">
  <si>
    <t>site</t>
  </si>
  <si>
    <t>intf_prefix</t>
  </si>
  <si>
    <t>router-id</t>
  </si>
  <si>
    <t>brukernavn</t>
  </si>
  <si>
    <t>passord</t>
  </si>
  <si>
    <t>vty_lines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</si>
  <si>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</si>
  <si>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</si>
  <si>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</si>
  <si>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</si>
  <si>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</si>
  <si>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</si>
  <si>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</si>
  <si>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</si>
  <si>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</si>
  <si>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</si>
  <si>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</si>
  <si>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</si>
  <si>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</si>
  <si>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</si>
  <si>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</si>
  <si>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</si>
  <si>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</si>
  <si>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</si>
  <si>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</si>
  <si>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</si>
  <si>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</si>
  <si>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</si>
  <si>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</si>
  <si>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</si>
  <si>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</si>
  <si>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</si>
  <si>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</si>
  <si>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</si>
  <si>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</si>
  <si>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</si>
  <si>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</si>
  <si>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</si>
  <si>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</si>
  <si>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</si>
  <si>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</si>
  <si>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</si>
  <si>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</si>
  <si>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</si>
  <si>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</si>
  <si>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</si>
  <si>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</si>
  <si>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</si>
  <si>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</si>
  <si>
    <t>30.1-20.4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</si>
</sst>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138"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37"/>
      <tableStyleElement type="headerRow" dxfId="136"/>
      <tableStyleElement type="firstRowStripe" dxfId="135"/>
      <tableStyleElement type="secondRowStripe" dxfId="134"/>
    </tableStyle>
    <tableStyle name="Site 3-style" pivot="0" count="4" xr9:uid="{00000000-0011-0000-FFFF-FFFF01000000}">
      <tableStyleElement type="wholeTable" size="0" dxfId="133"/>
      <tableStyleElement type="headerRow" dxfId="132"/>
      <tableStyleElement type="firstRowStripe" dxfId="131"/>
      <tableStyleElement type="secondRowStripe" dxfId="130"/>
    </tableStyle>
    <tableStyle name="Site 2-style" pivot="0" count="4" xr9:uid="{00000000-0011-0000-FFFF-FFFF02000000}">
      <tableStyleElement type="wholeTable" size="0" dxfId="129"/>
      <tableStyleElement type="headerRow" dxfId="128"/>
      <tableStyleElement type="firstRowStripe" dxfId="127"/>
      <tableStyleElement type="secondRowStripe" dxfId="126"/>
    </tableStyle>
    <tableStyle name="Site 4-style" pivot="0" count="4" xr9:uid="{00000000-0011-0000-FFFF-FFFF03000000}">
      <tableStyleElement type="wholeTable" size="0" dxfId="125"/>
      <tableStyleElement type="headerRow" dxfId="124"/>
      <tableStyleElement type="firstRowStripe" dxfId="123"/>
      <tableStyleElement type="secondRowStripe" dxfId="122"/>
    </tableStyle>
    <tableStyle name="Site 3-style 2" pivot="0" count="4" xr9:uid="{00000000-0011-0000-FFFF-FFFF04000000}">
      <tableStyleElement type="wholeTable" size="0" dxfId="121"/>
      <tableStyleElement type="headerRow" dxfId="120"/>
      <tableStyleElement type="firstRowStripe" dxfId="119"/>
      <tableStyleElement type="secondRowStripe" dxfId="118"/>
    </tableStyle>
    <tableStyle name="Site 1 (HUB)-style 2" pivot="0" count="4" xr9:uid="{00000000-0011-0000-FFFF-FFFF05000000}">
      <tableStyleElement type="wholeTable" size="0" dxfId="117"/>
      <tableStyleElement type="headerRow" dxfId="116"/>
      <tableStyleElement type="firstRowStripe" dxfId="115"/>
      <tableStyleElement type="secondRowStripe" dxfId="114"/>
    </tableStyle>
    <tableStyle name="Site 2-style 2" pivot="0" count="4" xr9:uid="{00000000-0011-0000-FFFF-FFFF06000000}">
      <tableStyleElement type="wholeTable" size="0" dxfId="113"/>
      <tableStyleElement type="headerRow" dxfId="112"/>
      <tableStyleElement type="firstRowStripe" dxfId="111"/>
      <tableStyleElement type="secondRowStripe" dxfId="110"/>
    </tableStyle>
    <tableStyle name="Site 3-style 3" pivot="0" count="4" xr9:uid="{00000000-0011-0000-FFFF-FFFF07000000}">
      <tableStyleElement type="wholeTable" size="0" dxfId="109"/>
      <tableStyleElement type="headerRow" dxfId="108"/>
      <tableStyleElement type="firstRowStripe" dxfId="107"/>
      <tableStyleElement type="secondRowStripe" dxfId="106"/>
    </tableStyle>
    <tableStyle name="Site 1 (HUB)-style 3" pivot="0" count="4" xr9:uid="{00000000-0011-0000-FFFF-FFFF08000000}">
      <tableStyleElement type="wholeTable" size="0" dxfId="105"/>
      <tableStyleElement type="headerRow" dxfId="104"/>
      <tableStyleElement type="firstRowStripe" dxfId="103"/>
      <tableStyleElement type="secondRowStripe" dxfId="102"/>
    </tableStyle>
    <tableStyle name="Site 4-style 2" pivot="0" count="4" xr9:uid="{00000000-0011-0000-FFFF-FFFF09000000}">
      <tableStyleElement type="wholeTable" size="0" dxfId="101"/>
      <tableStyleElement type="headerRow" dxfId="100"/>
      <tableStyleElement type="firstRowStripe" dxfId="99"/>
      <tableStyleElement type="secondRowStripe" dxfId="98"/>
    </tableStyle>
    <tableStyle name="Site 3-style 4" pivot="0" count="4" xr9:uid="{00000000-0011-0000-FFFF-FFFF0A000000}">
      <tableStyleElement type="wholeTable" size="0" dxfId="97"/>
      <tableStyleElement type="headerRow" dxfId="96"/>
      <tableStyleElement type="firstRowStripe" dxfId="95"/>
      <tableStyleElement type="secondRowStripe" dxfId="94"/>
    </tableStyle>
    <tableStyle name="Site 1 (HUB)-style 4" pivot="0" count="4" xr9:uid="{00000000-0011-0000-FFFF-FFFF0B000000}">
      <tableStyleElement type="wholeTable" size="0" dxfId="93"/>
      <tableStyleElement type="headerRow" dxfId="92"/>
      <tableStyleElement type="firstRowStripe" dxfId="91"/>
      <tableStyleElement type="secondRowStripe" dxfId="90"/>
    </tableStyle>
    <tableStyle name="Site 2-style 3" pivot="0" count="4" xr9:uid="{00000000-0011-0000-FFFF-FFFF0C000000}">
      <tableStyleElement type="wholeTable" size="0" dxfId="89"/>
      <tableStyleElement type="headerRow" dxfId="88"/>
      <tableStyleElement type="firstRowStripe" dxfId="87"/>
      <tableStyleElement type="secondRowStripe" dxfId="86"/>
    </tableStyle>
    <tableStyle name="Site 4-style 3" pivot="0" count="4" xr9:uid="{00000000-0011-0000-FFFF-FFFF0D000000}">
      <tableStyleElement type="wholeTable" size="0" dxfId="85"/>
      <tableStyleElement type="headerRow" dxfId="84"/>
      <tableStyleElement type="firstRowStripe" dxfId="83"/>
      <tableStyleElement type="secondRowStripe" dxfId="82"/>
    </tableStyle>
    <tableStyle name="Site 2-style 4" pivot="0" count="4" xr9:uid="{00000000-0011-0000-FFFF-FFFF0E000000}">
      <tableStyleElement type="wholeTable" size="0" dxfId="81"/>
      <tableStyleElement type="headerRow" dxfId="80"/>
      <tableStyleElement type="firstRowStripe" dxfId="79"/>
      <tableStyleElement type="secondRowStripe" dxfId="78"/>
    </tableStyle>
    <tableStyle name="Site 4-style 4" pivot="0" count="4" xr9:uid="{00000000-0011-0000-FFFF-FFFF0F000000}">
      <tableStyleElement type="wholeTable" size="0" dxfId="77"/>
      <tableStyleElement type="headerRow" dxfId="76"/>
      <tableStyleElement type="firstRowStripe" dxfId="75"/>
      <tableStyleElement type="secondRowStripe" dxfId="7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F2">
  <tableColumns count="6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73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D19" headerRowDxfId="72" dataDxfId="71" totalsRowDxfId="70">
  <tableColumns count="4">
    <tableColumn id="1" xr3:uid="{2906F324-3A93-4FB9-9A3C-D48E0E017DE1}" name="site" dataDxfId="69">
      <calculatedColumnFormula>A2</calculatedColumnFormula>
    </tableColumn>
    <tableColumn id="2" xr3:uid="{EACB8E41-CE14-43F2-9E46-F1D9E473C840}" name="brukernavn" dataDxfId="68"/>
    <tableColumn id="4" xr3:uid="{BDD570DD-38B1-4E0D-8E69-41BC5527F423}" name="passord" dataDxfId="67"/>
    <tableColumn id="5" xr3:uid="{0C9E5C25-E441-46FF-92BD-E2BEA9C8A2C6}" name="vty_lines" dataDxfId="66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1:I22" headerRowDxfId="65" dataDxfId="64" totalsRowDxfId="63">
  <tableColumns count="9">
    <tableColumn id="1" xr3:uid="{1B73E0C7-C498-41F8-BAC8-7E845E00CB65}" name="SW" dataDxfId="62"/>
    <tableColumn id="2" xr3:uid="{55746631-7369-4BB6-92AF-BC912FBA9E5B}" name="MGMT Vlan" dataDxfId="61"/>
    <tableColumn id="3" xr3:uid="{33D1D208-4592-452F-9EE7-3DD24275FDDC}" name="MGMT ip" dataDxfId="60">
      <calculatedColumnFormula>LEFT($G$5,LEN($G$5)-1)&amp;(RIGHT($G$5,1)+A22)</calculatedColumnFormula>
    </tableColumn>
    <tableColumn id="4" xr3:uid="{300ED09A-B325-432A-824C-60A4545FEF10}" name="gateway" dataDxfId="59">
      <calculatedColumnFormula>$E$5</calculatedColumnFormula>
    </tableColumn>
    <tableColumn id="5" xr3:uid="{DE41E3AD-2DD4-4E00-AAA7-E16DA0B7B327}" name="mask" dataDxfId="58">
      <calculatedColumnFormula>$F$5</calculatedColumnFormula>
    </tableColumn>
    <tableColumn id="6" xr3:uid="{10A4DA4A-2584-4B29-9285-F3E796366BC6}" name="vlan-antall" dataDxfId="57" totalsRowDxfId="56"/>
    <tableColumn id="7" xr3:uid="{40A0DCDD-4793-4C04-AB5A-E199F256A0D9}" name="num_ports" dataDxfId="55" totalsRowDxfId="54"/>
    <tableColumn id="8" xr3:uid="{D6B9E8CD-F7E4-4AF1-8D5B-45A78B5D62E7}" name="intf_prefix" dataDxfId="53" totalsRowDxfId="52"/>
    <tableColumn id="9" xr3:uid="{03637906-AC3E-4DB7-AEDB-025CDAD6ADBA}" name="num_port_ledig" dataDxfId="51" totalsRowDxfId="50">
      <calculatedColumnFormula>$G22-3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F2">
  <tableColumns count="6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49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D19" headerRowDxfId="48" dataDxfId="47" totalsRowDxfId="46">
  <tableColumns count="4">
    <tableColumn id="1" xr3:uid="{FCAD462F-C9DE-45E3-B342-8BC685D1666E}" name="site" dataDxfId="45">
      <calculatedColumnFormula>A2</calculatedColumnFormula>
    </tableColumn>
    <tableColumn id="4" xr3:uid="{A37D0432-8751-44ED-8106-422243C1F04B}" name="brukernavn" dataDxfId="44"/>
    <tableColumn id="5" xr3:uid="{1A9A17E0-8442-4E89-96DC-BC0A8BECBBCA}" name="passord" dataDxfId="43"/>
    <tableColumn id="3" xr3:uid="{F0C81F5E-B27A-43FB-83C1-1FEB580854DE}" name="vty_lines" dataDxfId="42" totalsRowDxfId="41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D1C10A1-9717-4057-887E-5357402CB0E7}" name="Tabell1618242833" displayName="Tabell1618242833" ref="A21:I23" headerRowDxfId="40" dataDxfId="39" totalsRowDxfId="38">
  <tableColumns count="9">
    <tableColumn id="1" xr3:uid="{85F36277-7C1F-4D2C-A112-F88A589A07DE}" name="SW" dataDxfId="37"/>
    <tableColumn id="2" xr3:uid="{5147590E-0FE4-463A-9241-58FBD204D8DE}" name="MGMT Vlan" dataDxfId="36"/>
    <tableColumn id="3" xr3:uid="{F8B990D7-C517-482F-BAFB-8EA413932149}" name="MGMT ip" dataDxfId="35">
      <calculatedColumnFormula>LEFT($G$5,LEN($G$5)-1)&amp;(RIGHT($G$5,1)+A22)</calculatedColumnFormula>
    </tableColumn>
    <tableColumn id="4" xr3:uid="{BCAF6C67-3F43-4FFA-8105-4158589FBEBF}" name="gateway" dataDxfId="34">
      <calculatedColumnFormula>$E$5</calculatedColumnFormula>
    </tableColumn>
    <tableColumn id="5" xr3:uid="{D20CE737-A3E7-4538-BC2C-E8176E6D9EE6}" name="mask" dataDxfId="33">
      <calculatedColumnFormula>$F$5</calculatedColumnFormula>
    </tableColumn>
    <tableColumn id="6" xr3:uid="{9365541B-740A-44C6-ADF0-F56C3A9D13D1}" name="vlan-antall" dataDxfId="32" totalsRowDxfId="31"/>
    <tableColumn id="7" xr3:uid="{7551B7F0-84D1-4CCD-9D8E-AEF551C0B4CA}" name="num_ports" dataDxfId="30" totalsRowDxfId="29"/>
    <tableColumn id="8" xr3:uid="{7717CEDF-A842-4402-B477-8AD92D9C9A65}" name="intf_prefix" dataDxfId="28" totalsRowDxfId="27"/>
    <tableColumn id="9" xr3:uid="{31DB8A8F-54E2-45C5-B25D-6C92CA4826D3}" name="num_port_ledig" dataDxfId="26" totalsRowDxfId="25">
      <calculatedColumnFormula>$G22-3</calculatedColumnFormula>
    </tableColumn>
  </tableColumns>
  <tableStyleInfo name="Site 4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B700C0-B4F5-42B7-94D9-034E5D9D886A}" name="Tabell12" displayName="Tabell12" ref="A1:F2">
  <tableColumns count="6">
    <tableColumn id="1" xr3:uid="{E7B12A0B-F552-4AD1-B034-85DE8D128366}" name="site"/>
    <tableColumn id="2" xr3:uid="{823F91E6-C232-4986-8B11-501983AB3D83}" name="intf_prefix"/>
    <tableColumn id="3" xr3:uid="{1BB6D2AF-1EFB-4C0B-8B46-3A1E048E19A3}" name="router-id">
      <calculatedColumnFormula>A2&amp;"."&amp;A2&amp;"."&amp;A2&amp;".0"</calculatedColumnFormula>
    </tableColumn>
    <tableColumn id="4" xr3:uid="{DD52541D-0262-41F8-A0C2-C5F1AA0929D7}" name="brukernavn"/>
    <tableColumn id="5" xr3:uid="{CDD9C4E3-0E8B-4E86-85C2-279123E643A3}" name="passord"/>
    <tableColumn id="6" xr3:uid="{7F330FC1-3560-4A39-A3F8-03E4F41C54AE}" name="vty_lines"/>
  </tableColumns>
  <tableStyleInfo name="Site 2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9ACA43-3D51-4804-81A7-64BC8A7E9622}" name="Tabell25" displayName="Tabell25" ref="A4:K7">
  <tableColumns count="11">
    <tableColumn id="1" xr3:uid="{CBD4B8CF-9CBE-47F2-B29A-B1AF1B0C3BB1}" name="vrf"/>
    <tableColumn id="2" xr3:uid="{1906269D-C450-4F32-92EE-945DDC6448A8}" name="vlan"/>
    <tableColumn id="3" xr3:uid="{B356E73D-3CCA-4BFB-87A1-40A712ECE9F9}" name="interface"/>
    <tableColumn id="4" xr3:uid="{16CF2537-CD91-4E4F-945A-47EE352162F5}" name="nett id"/>
    <tableColumn id="5" xr3:uid="{98A5FF99-DA45-4181-BACD-B1DE22DAAF19}" name="gateway">
      <calculatedColumnFormula>LEFT(D5,LEN(D5)-1)&amp;"1"</calculatedColumnFormula>
    </tableColumn>
    <tableColumn id="6" xr3:uid="{85C4E95C-9BB0-4DCC-BB74-C4F0C5D7507F}" name="mask"/>
    <tableColumn id="7" xr3:uid="{0E6F975A-960D-4569-B35D-1B3EA4B32E7E}" name="address min">
      <calculatedColumnFormula>LEFT(D5,LEN(D5)-1)&amp;"1"</calculatedColumnFormula>
    </tableColumn>
    <tableColumn id="8" xr3:uid="{90B6F7A5-9BD7-49C1-B978-43855C69778B}" name="address max"/>
    <tableColumn id="9" xr3:uid="{924908E3-556A-40DC-9275-15A17DCB79EE}" name="antall-res" dataDxfId="24"/>
    <tableColumn id="10" xr3:uid="{06C63977-B34D-4B5A-A3DF-C4469BD779D7}" name="pri-afxx"/>
    <tableColumn id="11" xr3:uid="{3BCA4967-58B4-4E19-8D6C-1D7A65EE09F2}" name="pri-1-10"/>
  </tableColumns>
  <tableStyleInfo name="Site 2-style 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2ED721-978A-4785-AA46-0077AED40AC5}" name="Tabell37" displayName="Tabell37" ref="A9:D12">
  <tableColumns count="4">
    <tableColumn id="1" xr3:uid="{A142F710-0A2E-4B21-A5B4-CF28E2CC91D0}" name="vrf"/>
    <tableColumn id="2" xr3:uid="{12F08FF1-336D-484B-BC07-C46B0F20F4DB}" name="rt"/>
    <tableColumn id="3" xr3:uid="{5F59AC8C-F391-4E41-A29E-32C2FC517FB6}" name="loopback"/>
    <tableColumn id="4" xr3:uid="{6370F7E7-7FEB-45FA-9E15-EB12B0165106}" name="laddr"/>
  </tableColumns>
  <tableStyleInfo name="Site 2-style 3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C57C07-BFFC-43E0-BADB-BE6B843826EE}" name="Tabell49" displayName="Tabell49" ref="A14:J16">
  <tableColumns count="10">
    <tableColumn id="1" xr3:uid="{3B50DDB7-93A8-47D0-9424-EAED219D7FA4}" name="tunnel id"/>
    <tableColumn id="2" xr3:uid="{E62014BF-0F66-47D2-B038-DDF7CF024273}" name="vrf"/>
    <tableColumn id="3" xr3:uid="{CA1B2AAB-E5BC-4D27-BDB0-53399772EDD8}" name="ip address"/>
    <tableColumn id="4" xr3:uid="{1FE50572-5D46-47EE-9CAA-C5D7982C9A69}" name="mask"/>
    <tableColumn id="5" xr3:uid="{857333EC-34C4-4CD6-AFE3-BF5BA353AE7F}" name="source"/>
    <tableColumn id="6" xr3:uid="{4CB22131-CFD6-4C7D-8E78-FC39DAF37A9D}" name="destination"/>
    <tableColumn id="7" xr3:uid="{15F438A3-5D0B-46E5-8019-48B1A494CE80}" name="gre mode"/>
    <tableColumn id="8" xr3:uid="{DF369439-854E-4AA1-B3CD-7574E128DEDB}" name="network-id"/>
    <tableColumn id="9" xr3:uid="{FB436501-7630-4736-B1B5-4BFF493C33BF}" name="ipsec">
      <calculatedColumnFormula array="1">_xlfn.XLOOKUP(1,( 'Site 1 (HUB)'!A:A=A15 )*( 'Site 1 (HUB)'!B:B=B15 ),'Site 1 (HUB)'!I:I)</calculatedColumnFormula>
    </tableColumn>
    <tableColumn id="10" xr3:uid="{ED4C8B58-2EE3-4120-881F-1AA1DF5FA86E}" name="ipsec key"/>
  </tableColumns>
  <tableStyleInfo name="Site 2-style 4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F23752F-BD82-401A-981D-B03F45E60744}" name="Tabell1319253010" displayName="Tabell1319253010" ref="A18:D19" headerRowDxfId="23" dataDxfId="22" totalsRowDxfId="21">
  <tableColumns count="4">
    <tableColumn id="1" xr3:uid="{C10764F4-CFFC-4EE6-9EEA-82891DC993E3}" name="site" dataDxfId="20">
      <calculatedColumnFormula>A2</calculatedColumnFormula>
    </tableColumn>
    <tableColumn id="4" xr3:uid="{495F2DCB-B8C1-4ED6-89E5-8F715B0716BB}" name="brukernavn" dataDxfId="19"/>
    <tableColumn id="5" xr3:uid="{0AF6FD65-2F7E-47E7-AC42-98BED9837A14}" name="passord" dataDxfId="18"/>
    <tableColumn id="3" xr3:uid="{817B17C3-5974-47D5-8903-3EB5C370F4C0}" name="vty_lines" dataDxfId="17" totalsRowDxfId="16"/>
  </tableColumns>
  <tableStyleInfo name="Site 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31BE48E-0BD4-4282-9346-3A5772CD50CB}" name="Tabell161824283312" displayName="Tabell161824283312" ref="A21:I23" headerRowDxfId="15" dataDxfId="14" totalsRowDxfId="13">
  <tableColumns count="9">
    <tableColumn id="1" xr3:uid="{72296002-AE4E-4E82-8305-4DDD12CA9BE2}" name="SW" dataDxfId="12"/>
    <tableColumn id="2" xr3:uid="{2973A27B-3C31-4DE1-A0D7-9AC4974D229E}" name="MGMT Vlan" dataDxfId="11"/>
    <tableColumn id="3" xr3:uid="{FBB420D8-ADD0-4632-A43B-10F32DF3105D}" name="MGMT ip" dataDxfId="10">
      <calculatedColumnFormula>LEFT($G$5,LEN($G$5)-1)&amp;(RIGHT($G$5,1)+A22)</calculatedColumnFormula>
    </tableColumn>
    <tableColumn id="4" xr3:uid="{7D99B76D-9B56-49C4-9B59-4DED1EAF6B17}" name="gateway" dataDxfId="9">
      <calculatedColumnFormula>$E$5</calculatedColumnFormula>
    </tableColumn>
    <tableColumn id="5" xr3:uid="{E0CF3890-FEBD-4B81-ABF6-157ECCA5F3A4}" name="mask" dataDxfId="8">
      <calculatedColumnFormula>$F$5</calculatedColumnFormula>
    </tableColumn>
    <tableColumn id="6" xr3:uid="{4941A454-E75E-46D9-BD24-7C44A665D3F6}" name="vlan-antall" dataDxfId="7" totalsRowDxfId="6"/>
    <tableColumn id="7" xr3:uid="{08C93E9C-BB70-4A35-9AFF-1C123A3CD9A9}" name="num_ports" dataDxfId="5" totalsRowDxfId="4"/>
    <tableColumn id="8" xr3:uid="{4BBEDCD8-9032-4F13-A138-6E836EDDF4D2}" name="intf_prefix" dataDxfId="3" totalsRowDxfId="2"/>
    <tableColumn id="9" xr3:uid="{2E94FBF2-04F2-4961-A5CD-DC3BCD091189}" name="num_port_ledig" dataDxfId="1" totalsRowDxfId="0">
      <calculatedColumnFormula>$G22-3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tabSelected="1" workbookViewId="0">
      <pane ySplit="1" topLeftCell="A2" activePane="bottomLeft" state="frozen"/>
      <selection pane="bottomLeft" activeCell="G1" sqref="G1:G2"/>
    </sheetView>
  </sheetViews>
  <sheetFormatPr defaultColWidth="12.5546875" defaultRowHeight="15" customHeight="1" x14ac:dyDescent="0.25"/>
  <cols>
    <col min="1" max="1" width="12.5546875" customWidth="1"/>
    <col min="2" max="2" width="12.6640625" customWidth="1"/>
    <col min="3" max="4" width="23.88671875" customWidth="1"/>
    <col min="5" max="6" width="12.5546875" customWidth="1"/>
    <col min="7" max="7" width="23.33203125" customWidth="1"/>
    <col min="9" max="9" width="18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5">
      <c r="A2" s="2">
        <v>1</v>
      </c>
      <c r="B2" s="2" t="s">
        <v>46</v>
      </c>
      <c r="C2" s="2" t="str">
        <f>A2&amp;"."&amp;A2&amp;"."&amp;A2&amp;".0"</f>
        <v>1.1.1.0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5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39</v>
      </c>
      <c r="J4" s="15" t="s">
        <v>48</v>
      </c>
      <c r="K4" s="15" t="s">
        <v>40</v>
      </c>
    </row>
    <row r="5" spans="1:11" ht="15.75" customHeight="1" x14ac:dyDescent="0.25">
      <c r="A5" s="6" t="s">
        <v>17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18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6">
        <v>21</v>
      </c>
      <c r="K5" s="16">
        <v>5</v>
      </c>
    </row>
    <row r="6" spans="1:11" ht="15.75" customHeight="1" x14ac:dyDescent="0.25">
      <c r="A6" s="6" t="s">
        <v>19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18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6">
        <v>11</v>
      </c>
      <c r="K6" s="16">
        <v>2</v>
      </c>
    </row>
    <row r="7" spans="1:11" ht="15.75" customHeight="1" x14ac:dyDescent="0.25">
      <c r="A7" s="6" t="s">
        <v>20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18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5">
      <c r="A8" s="8"/>
      <c r="B8" s="8"/>
    </row>
    <row r="9" spans="1:11" ht="15.75" customHeight="1" x14ac:dyDescent="0.25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5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5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5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5"/>
    <row r="14" spans="1:11" ht="15.75" customHeight="1" x14ac:dyDescent="0.25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5" t="s">
        <v>30</v>
      </c>
      <c r="G14" s="5" t="s">
        <v>31</v>
      </c>
      <c r="H14" s="1" t="s">
        <v>32</v>
      </c>
      <c r="I14" s="1" t="s">
        <v>33</v>
      </c>
      <c r="J14" s="1" t="s">
        <v>34</v>
      </c>
    </row>
    <row r="15" spans="1:11" ht="15.75" customHeight="1" x14ac:dyDescent="0.25">
      <c r="A15" s="6" t="s">
        <v>35</v>
      </c>
      <c r="B15" s="6" t="s">
        <v>17</v>
      </c>
      <c r="C15" s="6" t="str">
        <f>172&amp;"."&amp;16&amp;"."&amp;0&amp;"."&amp;(H15+A2)</f>
        <v>172.16.0.11</v>
      </c>
      <c r="D15" s="6" t="s">
        <v>36</v>
      </c>
      <c r="E15" s="6" t="str">
        <f>A2&amp;"."&amp;A2&amp;"."&amp;A2&amp;"."&amp;H15</f>
        <v>1.1.1.10</v>
      </c>
      <c r="F15" s="6"/>
      <c r="G15" s="6" t="s">
        <v>37</v>
      </c>
      <c r="H15" s="2">
        <v>10</v>
      </c>
      <c r="I15" s="2"/>
      <c r="J15" s="2"/>
    </row>
    <row r="16" spans="1:11" ht="15.75" customHeight="1" x14ac:dyDescent="0.25">
      <c r="A16" s="6" t="s">
        <v>38</v>
      </c>
      <c r="B16" s="6" t="s">
        <v>20</v>
      </c>
      <c r="C16" s="6" t="str">
        <f>172&amp;"."&amp;16&amp;"."&amp;0&amp;"."&amp;(H16+A2)</f>
        <v>172.16.0.31</v>
      </c>
      <c r="D16" s="6" t="s">
        <v>36</v>
      </c>
      <c r="E16" s="6" t="str">
        <f>A2&amp;"."&amp;A2&amp;"."&amp;A2&amp;"."&amp;H16</f>
        <v>1.1.1.30</v>
      </c>
      <c r="F16" s="6"/>
      <c r="G16" s="6" t="s">
        <v>37</v>
      </c>
      <c r="H16" s="2">
        <v>30</v>
      </c>
      <c r="I16" s="2" t="b">
        <v>1</v>
      </c>
      <c r="J16" s="2"/>
    </row>
    <row r="17" spans="1:9" ht="15.75" customHeight="1" x14ac:dyDescent="0.25">
      <c r="A17" s="9"/>
      <c r="B17" s="9"/>
      <c r="C17" s="9"/>
      <c r="D17" s="9"/>
      <c r="E17" s="9"/>
      <c r="F17" s="9"/>
      <c r="G17" s="9"/>
    </row>
    <row r="18" spans="1:9" ht="15.75" customHeight="1" x14ac:dyDescent="0.25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5">
      <c r="A19" s="11">
        <f>A2</f>
        <v>1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5"/>
    <row r="21" spans="1:9" ht="15.75" customHeight="1" x14ac:dyDescent="0.25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5">
      <c r="A22" s="6">
        <v>1</v>
      </c>
      <c r="B22" s="6">
        <v>10</v>
      </c>
      <c r="C22" s="6" t="str">
        <f t="shared" ref="C22" si="2">LEFT($G$5,LEN($G$5)-1)&amp;(RIGHT($G$5,1)+A22)</f>
        <v>10.11.0.2</v>
      </c>
      <c r="D22" s="6" t="str">
        <f t="shared" ref="D22" si="3">$E$5</f>
        <v>10.11.0.1</v>
      </c>
      <c r="E22" s="6" t="str">
        <f t="shared" ref="E22" si="4">$F$5</f>
        <v>255.255.0.0</v>
      </c>
      <c r="F22" s="6">
        <v>30.1</v>
      </c>
      <c r="G22" s="11">
        <v>4</v>
      </c>
      <c r="H22" s="11" t="s">
        <v>46</v>
      </c>
      <c r="I22" s="11">
        <f t="shared" ref="I22" si="5">$G22-3</f>
        <v>1</v>
      </c>
    </row>
    <row r="23" spans="1:9" ht="15.75" customHeight="1" x14ac:dyDescent="0.25"/>
    <row r="24" spans="1:9" ht="15.75" customHeight="1" x14ac:dyDescent="0.25"/>
    <row r="25" spans="1:9" ht="15.75" customHeight="1" x14ac:dyDescent="0.25"/>
    <row r="26" spans="1:9" ht="15.75" customHeight="1" x14ac:dyDescent="0.25"/>
    <row r="27" spans="1:9" ht="15.75" customHeight="1" x14ac:dyDescent="0.25"/>
    <row r="28" spans="1:9" ht="15.75" customHeight="1" x14ac:dyDescent="0.25"/>
    <row r="29" spans="1:9" ht="15.75" customHeight="1" x14ac:dyDescent="0.25"/>
    <row r="30" spans="1:9" ht="15.75" customHeight="1" x14ac:dyDescent="0.25"/>
    <row r="31" spans="1:9" ht="15.75" customHeight="1" x14ac:dyDescent="0.25"/>
    <row r="32" spans="1: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6" type="noConversion"/>
  <dataValidations count="1">
    <dataValidation type="custom" allowBlank="1" showInputMessage="1" showErrorMessage="1" sqref="F22" xr:uid="{E30D0828-D6F0-4F57-98C2-21AEB5B698E8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workbookViewId="0">
      <pane ySplit="1" topLeftCell="A4" activePane="bottomLeft" state="frozen"/>
      <selection pane="bottomLeft" activeCell="G12" sqref="G12"/>
    </sheetView>
  </sheetViews>
  <sheetFormatPr defaultColWidth="12.5546875" defaultRowHeight="15" customHeight="1" x14ac:dyDescent="0.25"/>
  <cols>
    <col min="1" max="1" width="12.5546875" customWidth="1"/>
    <col min="2" max="2" width="12.6640625" customWidth="1"/>
    <col min="3" max="3" width="12.5546875" customWidth="1"/>
    <col min="4" max="4" width="14.5546875" customWidth="1"/>
    <col min="5" max="6" width="12.5546875" customWidth="1"/>
    <col min="8" max="8" width="14.88671875" customWidth="1"/>
    <col min="9" max="9" width="26.554687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5">
      <c r="A2" s="2">
        <v>2</v>
      </c>
      <c r="B2" s="2" t="s">
        <v>46</v>
      </c>
      <c r="C2" s="2" t="str">
        <f>A2&amp;"."&amp;A2&amp;"."&amp;A2&amp;".0"</f>
        <v>2.2.2.0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5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12" t="s">
        <v>15</v>
      </c>
      <c r="H4" s="12" t="s">
        <v>16</v>
      </c>
      <c r="I4" s="12" t="s">
        <v>39</v>
      </c>
      <c r="J4" s="15" t="s">
        <v>48</v>
      </c>
      <c r="K4" s="15" t="s">
        <v>40</v>
      </c>
    </row>
    <row r="5" spans="1:11" ht="15.75" customHeight="1" x14ac:dyDescent="0.25">
      <c r="A5" s="6" t="s">
        <v>17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18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6">
        <v>21</v>
      </c>
      <c r="K5" s="16">
        <v>5</v>
      </c>
    </row>
    <row r="6" spans="1:11" ht="15.75" customHeight="1" x14ac:dyDescent="0.25">
      <c r="A6" s="6" t="s">
        <v>19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18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6">
        <v>11</v>
      </c>
      <c r="K6" s="16">
        <v>2</v>
      </c>
    </row>
    <row r="7" spans="1:11" ht="15.75" customHeight="1" x14ac:dyDescent="0.25">
      <c r="A7" s="6" t="s">
        <v>20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18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5">
      <c r="A8" s="8"/>
      <c r="B8" s="8"/>
    </row>
    <row r="9" spans="1:11" ht="15.75" customHeight="1" x14ac:dyDescent="0.25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5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5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5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5"/>
    <row r="14" spans="1:11" ht="15.75" customHeight="1" x14ac:dyDescent="0.25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12" t="s">
        <v>30</v>
      </c>
      <c r="G14" s="12" t="s">
        <v>31</v>
      </c>
      <c r="H14" s="14" t="s">
        <v>32</v>
      </c>
      <c r="I14" s="14" t="s">
        <v>33</v>
      </c>
      <c r="J14" s="14" t="s">
        <v>34</v>
      </c>
    </row>
    <row r="15" spans="1:11" ht="15.75" customHeight="1" x14ac:dyDescent="0.25">
      <c r="A15" s="6" t="s">
        <v>35</v>
      </c>
      <c r="B15" s="6" t="s">
        <v>17</v>
      </c>
      <c r="C15" s="6" t="str">
        <f>172&amp;"."&amp;16&amp;"."&amp;0&amp;"."&amp;(H15+A2)</f>
        <v>172.16.0.12</v>
      </c>
      <c r="D15" s="6" t="s">
        <v>36</v>
      </c>
      <c r="E15" s="6" t="str">
        <f>A2&amp;"."&amp;A2&amp;"."&amp;A2&amp;"."&amp;H15</f>
        <v>2.2.2.10</v>
      </c>
      <c r="F15" s="6"/>
      <c r="G15" s="6" t="s">
        <v>37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5">
      <c r="A16" s="6" t="s">
        <v>38</v>
      </c>
      <c r="B16" s="6" t="s">
        <v>20</v>
      </c>
      <c r="C16" s="6" t="str">
        <f>172&amp;"."&amp;16&amp;"."&amp;0&amp;"."&amp;(H16+A2)</f>
        <v>172.16.0.32</v>
      </c>
      <c r="D16" s="6" t="s">
        <v>36</v>
      </c>
      <c r="E16" s="6" t="str">
        <f>A2&amp;"."&amp;A2&amp;"."&amp;A2&amp;"."&amp;H16</f>
        <v>2.2.2.30</v>
      </c>
      <c r="F16" s="6"/>
      <c r="G16" s="6" t="s">
        <v>37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9" ht="15.75" customHeight="1" x14ac:dyDescent="0.25"/>
    <row r="18" spans="1:9" ht="15.75" customHeight="1" x14ac:dyDescent="0.25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5">
      <c r="A19" s="11">
        <f>A2</f>
        <v>2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5"/>
    <row r="21" spans="1:9" ht="26.25" customHeight="1" x14ac:dyDescent="0.25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12" t="s">
        <v>44</v>
      </c>
      <c r="G21" s="13" t="s">
        <v>45</v>
      </c>
      <c r="H21" s="13" t="s">
        <v>1</v>
      </c>
      <c r="I21" s="13" t="s">
        <v>47</v>
      </c>
    </row>
    <row r="22" spans="1:9" ht="15.75" customHeight="1" x14ac:dyDescent="0.25">
      <c r="A22" s="6">
        <v>1</v>
      </c>
      <c r="B22" s="6">
        <v>10</v>
      </c>
      <c r="C22" s="6" t="str">
        <f t="shared" ref="C22" si="2">LEFT($G$5,LEN($G$5)-1)&amp;(RIGHT($G$5,1)+A22)</f>
        <v>10.12.0.2</v>
      </c>
      <c r="D22" s="6" t="str">
        <f t="shared" ref="D22" si="3">$E$5</f>
        <v>10.12.0.1</v>
      </c>
      <c r="E22" s="6" t="str">
        <f t="shared" ref="E22:E23" si="4">$F$5</f>
        <v>255.255.0.0</v>
      </c>
      <c r="F22" s="6">
        <v>30.1</v>
      </c>
      <c r="G22" s="11">
        <v>4</v>
      </c>
      <c r="H22" s="11" t="s">
        <v>46</v>
      </c>
      <c r="I22" s="11">
        <f t="shared" ref="I22:I23" si="5">$G22-3</f>
        <v>1</v>
      </c>
    </row>
    <row r="23" spans="1:9" ht="15.75" customHeight="1" x14ac:dyDescent="0.25">
      <c r="A23" s="6">
        <v>2</v>
      </c>
      <c r="B23" s="6">
        <v>10</v>
      </c>
      <c r="C23" s="6" t="str">
        <f>LEFT($G$5,LEN($G$5)-1)&amp;(RIGHT($G$5,1)+A23)</f>
        <v>10.12.0.3</v>
      </c>
      <c r="D23" s="6" t="str">
        <f>$E$5</f>
        <v>10.12.0.1</v>
      </c>
      <c r="E23" s="6" t="str">
        <f t="shared" si="4"/>
        <v>255.255.0.0</v>
      </c>
      <c r="F23" s="6">
        <v>30.1</v>
      </c>
      <c r="G23" s="11">
        <v>4</v>
      </c>
      <c r="H23" s="11" t="s">
        <v>46</v>
      </c>
      <c r="I23" s="11">
        <f t="shared" si="5"/>
        <v>1</v>
      </c>
    </row>
    <row r="24" spans="1:9" ht="15.75" customHeight="1" x14ac:dyDescent="0.25"/>
    <row r="25" spans="1:9" ht="15.75" customHeight="1" x14ac:dyDescent="0.25"/>
    <row r="26" spans="1:9" ht="15.75" customHeight="1" x14ac:dyDescent="0.25"/>
    <row r="27" spans="1:9" ht="15.75" customHeight="1" x14ac:dyDescent="0.25"/>
    <row r="28" spans="1:9" ht="15.75" customHeight="1" x14ac:dyDescent="0.25"/>
    <row r="29" spans="1:9" ht="15.75" customHeight="1" x14ac:dyDescent="0.25"/>
    <row r="30" spans="1:9" ht="15.75" customHeight="1" x14ac:dyDescent="0.25"/>
    <row r="31" spans="1:9" ht="15.75" customHeight="1" x14ac:dyDescent="0.25"/>
    <row r="32" spans="1: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dataValidations count="1">
    <dataValidation type="custom" allowBlank="1" showInputMessage="1" showErrorMessage="1" sqref="F22:F23" xr:uid="{25CC9412-61D9-442A-A712-97FD5AA60B1F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36876-D6BF-48B2-8128-D179264AEE99}">
  <dimension ref="A1:K23"/>
  <sheetViews>
    <sheetView topLeftCell="A9" workbookViewId="0">
      <selection activeCell="F9" sqref="F9"/>
    </sheetView>
  </sheetViews>
  <sheetFormatPr defaultRowHeight="13.2" x14ac:dyDescent="0.25"/>
  <cols>
    <col min="3" max="3" width="9.44140625" customWidth="1"/>
    <col min="4" max="4" width="12.77734375" customWidth="1"/>
    <col min="5" max="5" width="14.88671875" customWidth="1"/>
    <col min="6" max="6" width="11.77734375" bestFit="1" customWidth="1"/>
    <col min="7" max="7" width="13.1093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x14ac:dyDescent="0.25">
      <c r="A2" s="2">
        <v>3</v>
      </c>
      <c r="B2" s="2" t="s">
        <v>46</v>
      </c>
      <c r="C2" s="2" t="str">
        <f>A2&amp;"."&amp;A2&amp;"."&amp;A2&amp;".0"</f>
        <v>3.3.3.0</v>
      </c>
      <c r="D2" s="2" t="s">
        <v>6</v>
      </c>
      <c r="E2" s="2" t="s">
        <v>7</v>
      </c>
      <c r="F2" s="2" t="s">
        <v>8</v>
      </c>
    </row>
    <row r="3" spans="1:11" ht="13.8" x14ac:dyDescent="0.25">
      <c r="A3" s="3"/>
      <c r="B3" s="4"/>
      <c r="C3" s="3"/>
      <c r="D3" s="3"/>
      <c r="E3" s="3"/>
      <c r="F3" s="3"/>
      <c r="G3" s="3"/>
      <c r="H3" s="3"/>
    </row>
    <row r="4" spans="1:11" ht="27.6" x14ac:dyDescent="0.25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12" t="s">
        <v>15</v>
      </c>
      <c r="H4" s="12" t="s">
        <v>16</v>
      </c>
      <c r="I4" s="12" t="s">
        <v>39</v>
      </c>
      <c r="J4" s="15" t="s">
        <v>48</v>
      </c>
      <c r="K4" s="15" t="s">
        <v>40</v>
      </c>
    </row>
    <row r="5" spans="1:11" ht="27.6" x14ac:dyDescent="0.25">
      <c r="A5" s="6" t="s">
        <v>17</v>
      </c>
      <c r="B5" s="7">
        <v>10</v>
      </c>
      <c r="C5" s="6">
        <v>0</v>
      </c>
      <c r="D5" s="6" t="str">
        <f>10&amp;"."&amp;(B5+A2)&amp;"."&amp;0&amp;"."&amp;0</f>
        <v>10.13.0.0</v>
      </c>
      <c r="E5" s="6" t="str">
        <f t="shared" ref="E5:E7" si="0">LEFT(D5,LEN(D5)-1)&amp;"1"</f>
        <v>10.13.0.1</v>
      </c>
      <c r="F5" s="6" t="s">
        <v>18</v>
      </c>
      <c r="G5" s="6" t="str">
        <f t="shared" ref="G5:G7" si="1">LEFT(D5,LEN(D5)-1)&amp;"1"</f>
        <v>10.13.0.1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6">
        <v>21</v>
      </c>
      <c r="K5" s="16">
        <v>5</v>
      </c>
    </row>
    <row r="6" spans="1:11" ht="27.6" x14ac:dyDescent="0.25">
      <c r="A6" s="6" t="s">
        <v>19</v>
      </c>
      <c r="B6" s="7">
        <v>20</v>
      </c>
      <c r="C6" s="6">
        <v>0</v>
      </c>
      <c r="D6" s="6" t="str">
        <f>10&amp;"."&amp;(B6+A2)&amp;"."&amp;0&amp;"."&amp;0</f>
        <v>10.23.0.0</v>
      </c>
      <c r="E6" s="6" t="str">
        <f t="shared" si="0"/>
        <v>10.23.0.1</v>
      </c>
      <c r="F6" s="6" t="s">
        <v>18</v>
      </c>
      <c r="G6" s="6" t="str">
        <f t="shared" si="1"/>
        <v>10.23.0.1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6">
        <v>11</v>
      </c>
      <c r="K6" s="16">
        <v>2</v>
      </c>
    </row>
    <row r="7" spans="1:11" ht="27.6" x14ac:dyDescent="0.25">
      <c r="A7" s="6" t="s">
        <v>20</v>
      </c>
      <c r="B7" s="7">
        <v>30</v>
      </c>
      <c r="C7" s="6">
        <v>0</v>
      </c>
      <c r="D7" s="6" t="str">
        <f>10&amp;"."&amp;(B7+A2)&amp;"."&amp;0&amp;"."&amp;0</f>
        <v>10.33.0.0</v>
      </c>
      <c r="E7" s="6" t="str">
        <f t="shared" si="0"/>
        <v>10.33.0.1</v>
      </c>
      <c r="F7" s="6" t="s">
        <v>18</v>
      </c>
      <c r="G7" s="6" t="str">
        <f t="shared" si="1"/>
        <v>10.33.0.1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x14ac:dyDescent="0.25">
      <c r="A8" s="8"/>
      <c r="B8" s="8"/>
    </row>
    <row r="9" spans="1:11" ht="27.6" x14ac:dyDescent="0.25">
      <c r="A9" s="5" t="s">
        <v>9</v>
      </c>
      <c r="B9" s="5" t="s">
        <v>21</v>
      </c>
      <c r="C9" s="5" t="s">
        <v>22</v>
      </c>
      <c r="D9" s="5" t="s">
        <v>23</v>
      </c>
    </row>
    <row r="10" spans="1:11" ht="13.8" x14ac:dyDescent="0.25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3.3.3.10</v>
      </c>
    </row>
    <row r="11" spans="1:11" ht="13.8" x14ac:dyDescent="0.25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3.3.3.20</v>
      </c>
    </row>
    <row r="12" spans="1:11" ht="13.8" x14ac:dyDescent="0.25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3.3.3.30</v>
      </c>
    </row>
    <row r="14" spans="1:11" ht="27.6" x14ac:dyDescent="0.25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12" t="s">
        <v>30</v>
      </c>
      <c r="G14" s="12" t="s">
        <v>31</v>
      </c>
      <c r="H14" s="14" t="s">
        <v>32</v>
      </c>
      <c r="I14" s="14" t="s">
        <v>33</v>
      </c>
      <c r="J14" s="14" t="s">
        <v>34</v>
      </c>
    </row>
    <row r="15" spans="1:11" ht="27.6" x14ac:dyDescent="0.25">
      <c r="A15" s="6" t="s">
        <v>35</v>
      </c>
      <c r="B15" s="6" t="s">
        <v>17</v>
      </c>
      <c r="C15" s="6" t="str">
        <f>172&amp;"."&amp;16&amp;"."&amp;0&amp;"."&amp;(H15+A2)</f>
        <v>172.16.0.13</v>
      </c>
      <c r="D15" s="6" t="s">
        <v>36</v>
      </c>
      <c r="E15" s="6" t="str">
        <f>A2&amp;"."&amp;A2&amp;"."&amp;A2&amp;"."&amp;H15</f>
        <v>3.3.3.10</v>
      </c>
      <c r="F15" s="6"/>
      <c r="G15" s="6" t="s">
        <v>37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27.6" x14ac:dyDescent="0.25">
      <c r="A16" s="6" t="s">
        <v>38</v>
      </c>
      <c r="B16" s="6" t="s">
        <v>20</v>
      </c>
      <c r="C16" s="6" t="str">
        <f>172&amp;"."&amp;16&amp;"."&amp;0&amp;"."&amp;(H16+A2)</f>
        <v>172.16.0.33</v>
      </c>
      <c r="D16" s="6" t="s">
        <v>36</v>
      </c>
      <c r="E16" s="6" t="str">
        <f>A2&amp;"."&amp;A2&amp;"."&amp;A2&amp;"."&amp;H16</f>
        <v>3.3.3.30</v>
      </c>
      <c r="F16" s="6"/>
      <c r="G16" s="6" t="s">
        <v>37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8" spans="1:9" ht="26.4" x14ac:dyDescent="0.25">
      <c r="A18" s="10" t="s">
        <v>0</v>
      </c>
      <c r="B18" s="10" t="s">
        <v>3</v>
      </c>
      <c r="C18" s="10" t="s">
        <v>4</v>
      </c>
      <c r="D18" s="10" t="s">
        <v>5</v>
      </c>
    </row>
    <row r="19" spans="1:9" x14ac:dyDescent="0.25">
      <c r="A19" s="11">
        <f>A2</f>
        <v>3</v>
      </c>
      <c r="B19" s="11" t="s">
        <v>6</v>
      </c>
      <c r="C19" s="11" t="s">
        <v>7</v>
      </c>
      <c r="D19" s="11" t="s">
        <v>8</v>
      </c>
    </row>
    <row r="21" spans="1:9" ht="27.6" x14ac:dyDescent="0.25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12" t="s">
        <v>44</v>
      </c>
      <c r="G21" s="13" t="s">
        <v>45</v>
      </c>
      <c r="H21" s="13" t="s">
        <v>1</v>
      </c>
      <c r="I21" s="13" t="s">
        <v>47</v>
      </c>
    </row>
    <row r="22" spans="1:9" ht="13.8" x14ac:dyDescent="0.25">
      <c r="A22" s="6">
        <v>1</v>
      </c>
      <c r="B22" s="6">
        <v>10</v>
      </c>
      <c r="C22" s="6" t="str">
        <f t="shared" ref="C22" si="2">LEFT($G$5,LEN($G$5)-1)&amp;(RIGHT($G$5,1)+A22)</f>
        <v>10.13.0.2</v>
      </c>
      <c r="D22" s="6" t="str">
        <f t="shared" ref="D22" si="3">$E$5</f>
        <v>10.13.0.1</v>
      </c>
      <c r="E22" s="6" t="str">
        <f t="shared" ref="E22:E23" si="4">$F$5</f>
        <v>255.255.0.0</v>
      </c>
      <c r="F22" s="6" t="s">
        <v>49</v>
      </c>
      <c r="G22" s="11">
        <v>10</v>
      </c>
      <c r="H22" s="11" t="s">
        <v>46</v>
      </c>
      <c r="I22" s="11">
        <f t="shared" ref="I22:I23" si="5">$G22-3</f>
        <v>7</v>
      </c>
    </row>
    <row r="23" spans="1:9" ht="13.8" x14ac:dyDescent="0.25">
      <c r="A23" s="6">
        <v>2</v>
      </c>
      <c r="B23" s="6">
        <v>10</v>
      </c>
      <c r="C23" s="6" t="str">
        <f>LEFT($G$5,LEN($G$5)-1)&amp;(RIGHT($G$5,1)+A23)</f>
        <v>10.13.0.3</v>
      </c>
      <c r="D23" s="6" t="str">
        <f>$E$5</f>
        <v>10.13.0.1</v>
      </c>
      <c r="E23" s="6" t="str">
        <f t="shared" si="4"/>
        <v>255.255.0.0</v>
      </c>
      <c r="F23" s="6">
        <v>30.1</v>
      </c>
      <c r="G23" s="11">
        <v>4</v>
      </c>
      <c r="H23" s="11" t="s">
        <v>46</v>
      </c>
      <c r="I23" s="11">
        <f t="shared" si="5"/>
        <v>1</v>
      </c>
    </row>
  </sheetData>
  <dataValidations count="1">
    <dataValidation type="custom" allowBlank="1" showInputMessage="1" showErrorMessage="1" sqref="F22:F23" xr:uid="{3B260FA1-AA62-4103-8C2D-5A08CBE85836}">
      <formula1>IF(F22="",TRUE,SUM(--_xlfn.TEXTAFTER(_xlfn.TEXTSPLIT(F22,"-"),"."))&lt;=$G22-3)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2026-09-04T11:24:57Z</dcterms:modified>
</cp:coreProperties>
</file>