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anik\Music\INI\"/>
    </mc:Choice>
  </mc:AlternateContent>
  <xr:revisionPtr revIDLastSave="0" documentId="13_ncr:1_{D3CE3C44-4C0D-43F3-9C83-D47E97EC6DE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Ark 1" sheetId="1" r:id="rId1"/>
    <sheet name="Ark 2" sheetId="2" r:id="rId2"/>
    <sheet name="Ark 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3" l="1" a="1"/>
  <c r="I15" i="3" a="1"/>
  <c r="I16" i="2" a="1"/>
  <c r="I15" i="2" a="1"/>
  <c r="E16" i="3"/>
  <c r="C16" i="3"/>
  <c r="E15" i="3"/>
  <c r="C15" i="3"/>
  <c r="D12" i="3"/>
  <c r="D11" i="3"/>
  <c r="D10" i="3"/>
  <c r="H7" i="3"/>
  <c r="G7" i="3"/>
  <c r="E7" i="3"/>
  <c r="D7" i="3"/>
  <c r="H6" i="3"/>
  <c r="D6" i="3"/>
  <c r="H5" i="3"/>
  <c r="D5" i="3"/>
  <c r="C2" i="3"/>
  <c r="E16" i="2"/>
  <c r="C16" i="2"/>
  <c r="E15" i="2"/>
  <c r="C15" i="2"/>
  <c r="D12" i="2"/>
  <c r="D11" i="2"/>
  <c r="D10" i="2"/>
  <c r="H7" i="2"/>
  <c r="G7" i="2"/>
  <c r="E7" i="2"/>
  <c r="D7" i="2"/>
  <c r="H6" i="2"/>
  <c r="D6" i="2"/>
  <c r="H5" i="2"/>
  <c r="D5" i="2"/>
  <c r="C2" i="2"/>
  <c r="E16" i="1"/>
  <c r="C16" i="1"/>
  <c r="E15" i="1"/>
  <c r="C15" i="1"/>
  <c r="D12" i="1"/>
  <c r="D11" i="1"/>
  <c r="D10" i="1"/>
  <c r="H7" i="1"/>
  <c r="G7" i="1"/>
  <c r="E7" i="1"/>
  <c r="D7" i="1"/>
  <c r="H6" i="1"/>
  <c r="D6" i="1"/>
  <c r="H5" i="1"/>
  <c r="D5" i="1"/>
  <c r="C2" i="1"/>
  <c r="E6" i="3" l="1"/>
  <c r="G6" i="3"/>
  <c r="E5" i="3"/>
  <c r="G5" i="3"/>
  <c r="E6" i="2"/>
  <c r="G6" i="2"/>
  <c r="E5" i="2"/>
  <c r="G5" i="2"/>
  <c r="E6" i="1"/>
  <c r="G6" i="1"/>
  <c r="E5" i="1"/>
  <c r="G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<sst xmlns="http://schemas.openxmlformats.org/spreadsheetml/2006/main" count="162" uniqueCount="41">
  <si>
    <t>site</t>
  </si>
  <si>
    <t>intf_prefix</t>
  </si>
  <si>
    <t>router-id</t>
  </si>
  <si>
    <t>brukernavn</t>
  </si>
  <si>
    <t>passord</t>
  </si>
  <si>
    <t>vty_lines</t>
  </si>
  <si>
    <t>E0/</t>
  </si>
  <si>
    <t>admin</t>
  </si>
  <si>
    <t>cisco</t>
  </si>
  <si>
    <t>0 - 4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</si>
  <si>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</si>
  <si>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</si>
  <si>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</si>
  <si>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</si>
  <si>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</si>
  <si>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</si>
  <si>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</si>
  <si>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</si>
  <si>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MGMT</t>
  </si>
  <si>
    <t>255.255.0.0</t>
  </si>
  <si>
    <t>INET</t>
  </si>
  <si>
    <t>UNET</t>
  </si>
  <si>
    <t>rt</t>
  </si>
  <si>
    <t>loopback</t>
  </si>
  <si>
    <t>laddr</t>
  </si>
  <si>
    <t>1337:10</t>
  </si>
  <si>
    <t>1337:20</t>
  </si>
  <si>
    <t>1337:30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</si>
  <si>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</si>
  <si>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</si>
  <si>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</si>
  <si>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</si>
  <si>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</si>
  <si>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</si>
  <si>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</si>
  <si>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</si>
  <si>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</si>
  <si>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</si>
  <si>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-</t>
  </si>
  <si>
    <t>multipoint</t>
  </si>
  <si>
    <t>tunnel 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</si>
</sst>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left" wrapText="1"/>
    </xf>
    <xf numFmtId="0" fontId="5" fillId="0" borderId="0" xfId="0" applyFont="1" applyAlignment="1">
      <alignment wrapText="1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7"/>
  <sheetViews>
    <sheetView workbookViewId="0">
      <selection activeCell="I16" sqref="I16"/>
    </sheetView>
  </sheetViews>
  <sheetFormatPr defaultColWidth="12.6640625" defaultRowHeight="15.75" customHeight="1" x14ac:dyDescent="0.25"/>
  <cols>
    <col min="3" max="4" width="23.8867187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0" x14ac:dyDescent="0.25">
      <c r="A2" s="1">
        <v>1</v>
      </c>
      <c r="B2" s="1" t="s">
        <v>6</v>
      </c>
      <c r="C2" s="1" t="str">
        <f>A2&amp;"."&amp;A2&amp;"."&amp;A2&amp;".0"</f>
        <v>1.1.1.0</v>
      </c>
      <c r="D2" s="1" t="s">
        <v>7</v>
      </c>
      <c r="E2" s="1" t="s">
        <v>8</v>
      </c>
      <c r="F2" s="1" t="s">
        <v>9</v>
      </c>
    </row>
    <row r="3" spans="1:10" x14ac:dyDescent="0.25">
      <c r="A3" s="2"/>
      <c r="B3" s="3"/>
      <c r="C3" s="2"/>
      <c r="D3" s="2"/>
      <c r="E3" s="2"/>
      <c r="F3" s="2"/>
      <c r="G3" s="2"/>
      <c r="H3" s="2"/>
    </row>
    <row r="4" spans="1:10" x14ac:dyDescent="0.25">
      <c r="A4" s="2" t="s">
        <v>10</v>
      </c>
      <c r="B4" s="3" t="s">
        <v>11</v>
      </c>
      <c r="C4" s="2" t="s">
        <v>12</v>
      </c>
      <c r="D4" s="2" t="s">
        <v>13</v>
      </c>
      <c r="E4" s="2" t="s">
        <v>14</v>
      </c>
      <c r="F4" s="2" t="s">
        <v>15</v>
      </c>
      <c r="G4" s="2" t="s">
        <v>16</v>
      </c>
      <c r="H4" s="2" t="s">
        <v>17</v>
      </c>
    </row>
    <row r="5" spans="1:10" x14ac:dyDescent="0.25">
      <c r="A5" s="4" t="s">
        <v>18</v>
      </c>
      <c r="B5" s="5">
        <v>10</v>
      </c>
      <c r="C5" s="4">
        <v>0</v>
      </c>
      <c r="D5" s="4" t="str">
        <f>10&amp;"."&amp;(B5+A2)&amp;"."&amp;0&amp;"."&amp;0</f>
        <v>10.11.0.0</v>
      </c>
      <c r="E5" s="4" t="str">
        <f t="shared" ref="E5:E7" si="0">LEFT(D5,LEN(D5)-1)&amp;"1"</f>
        <v>10.11.0.1</v>
      </c>
      <c r="F5" s="4" t="s">
        <v>19</v>
      </c>
      <c r="G5" s="4" t="str">
        <f t="shared" ref="G5:G7" si="1">LEFT(D5,LEN(D5)-1)&amp;"1"</f>
        <v>10.11.0.1</v>
      </c>
      <c r="H5" s="4" t="str">
        <f ca="1">IFERROR(__xludf.DUMMYFUNCTION("REGEXREPLACE(D5,""\.[0-9]+\.[0-9]+$"","".255.254"")"),"10.11.255.254")</f>
        <v>10.11.255.254</v>
      </c>
    </row>
    <row r="6" spans="1:10" x14ac:dyDescent="0.25">
      <c r="A6" s="4" t="s">
        <v>20</v>
      </c>
      <c r="B6" s="5">
        <v>20</v>
      </c>
      <c r="C6" s="4">
        <v>0</v>
      </c>
      <c r="D6" s="4" t="str">
        <f>10&amp;"."&amp;(B6+A2)&amp;"."&amp;0&amp;"."&amp;0</f>
        <v>10.21.0.0</v>
      </c>
      <c r="E6" s="4" t="str">
        <f t="shared" si="0"/>
        <v>10.21.0.1</v>
      </c>
      <c r="F6" s="4" t="s">
        <v>19</v>
      </c>
      <c r="G6" s="4" t="str">
        <f t="shared" si="1"/>
        <v>10.21.0.1</v>
      </c>
      <c r="H6" s="4" t="str">
        <f ca="1">IFERROR(__xludf.DUMMYFUNCTION("REGEXREPLACE(D6,""\.[0-9]+\.[0-9]+$"","".255.254"")"),"10.21.255.254")</f>
        <v>10.21.255.254</v>
      </c>
    </row>
    <row r="7" spans="1:10" x14ac:dyDescent="0.25">
      <c r="A7" s="4" t="s">
        <v>21</v>
      </c>
      <c r="B7" s="5">
        <v>30</v>
      </c>
      <c r="C7" s="4">
        <v>0</v>
      </c>
      <c r="D7" s="4" t="str">
        <f>10&amp;"."&amp;(B7+A2)&amp;"."&amp;0&amp;"."&amp;0</f>
        <v>10.31.0.0</v>
      </c>
      <c r="E7" s="4" t="str">
        <f t="shared" si="0"/>
        <v>10.31.0.1</v>
      </c>
      <c r="F7" s="4" t="s">
        <v>19</v>
      </c>
      <c r="G7" s="4" t="str">
        <f t="shared" si="1"/>
        <v>10.31.0.1</v>
      </c>
      <c r="H7" s="4" t="str">
        <f ca="1">IFERROR(__xludf.DUMMYFUNCTION("REGEXREPLACE(D7,""\.[0-9]+\.[0-9]+$"","".255.254"")"),"10.31.255.254")</f>
        <v>10.31.255.254</v>
      </c>
    </row>
    <row r="8" spans="1:10" x14ac:dyDescent="0.25">
      <c r="A8" s="6"/>
      <c r="B8" s="6"/>
    </row>
    <row r="9" spans="1:10" x14ac:dyDescent="0.25">
      <c r="A9" s="2" t="s">
        <v>10</v>
      </c>
      <c r="B9" s="3" t="s">
        <v>22</v>
      </c>
      <c r="C9" s="2" t="s">
        <v>23</v>
      </c>
      <c r="D9" s="2" t="s">
        <v>24</v>
      </c>
    </row>
    <row r="10" spans="1:10" x14ac:dyDescent="0.25">
      <c r="A10" s="4" t="s">
        <v>18</v>
      </c>
      <c r="B10" s="5" t="s">
        <v>25</v>
      </c>
      <c r="C10" s="4">
        <v>10</v>
      </c>
      <c r="D10" s="4" t="str">
        <f>A2&amp;"."&amp;A2&amp;"."&amp;A2&amp;"."&amp;(C10)</f>
        <v>1.1.1.10</v>
      </c>
    </row>
    <row r="11" spans="1:10" x14ac:dyDescent="0.25">
      <c r="A11" s="4" t="s">
        <v>20</v>
      </c>
      <c r="B11" s="5" t="s">
        <v>26</v>
      </c>
      <c r="C11" s="4">
        <v>20</v>
      </c>
      <c r="D11" s="4" t="str">
        <f>A2&amp;"."&amp;A2&amp;"."&amp;A2&amp;"."&amp;(C11)</f>
        <v>1.1.1.20</v>
      </c>
    </row>
    <row r="12" spans="1:10" x14ac:dyDescent="0.25">
      <c r="A12" s="4" t="s">
        <v>21</v>
      </c>
      <c r="B12" s="5" t="s">
        <v>27</v>
      </c>
      <c r="C12" s="4">
        <v>30</v>
      </c>
      <c r="D12" s="4" t="str">
        <f>A2&amp;"."&amp;A2&amp;"."&amp;A2&amp;"."&amp;(C12)</f>
        <v>1.1.1.30</v>
      </c>
    </row>
    <row r="14" spans="1:10" x14ac:dyDescent="0.25">
      <c r="A14" s="2" t="s">
        <v>28</v>
      </c>
      <c r="B14" s="2" t="s">
        <v>10</v>
      </c>
      <c r="C14" s="2" t="s">
        <v>29</v>
      </c>
      <c r="D14" s="2" t="s">
        <v>15</v>
      </c>
      <c r="E14" s="2" t="s">
        <v>30</v>
      </c>
      <c r="F14" s="2" t="s">
        <v>31</v>
      </c>
      <c r="G14" s="2" t="s">
        <v>32</v>
      </c>
      <c r="H14" s="1" t="s">
        <v>33</v>
      </c>
      <c r="I14" s="1" t="s">
        <v>34</v>
      </c>
      <c r="J14" s="1" t="s">
        <v>35</v>
      </c>
    </row>
    <row r="15" spans="1:10" x14ac:dyDescent="0.25">
      <c r="A15" s="4" t="s">
        <v>36</v>
      </c>
      <c r="B15" s="4" t="s">
        <v>18</v>
      </c>
      <c r="C15" s="4" t="str">
        <f>172&amp;"."&amp;16&amp;"."&amp;0&amp;"."&amp;(H15+A2)</f>
        <v>172.16.0.11</v>
      </c>
      <c r="D15" s="4" t="s">
        <v>37</v>
      </c>
      <c r="E15" s="4" t="str">
        <f>A2&amp;"."&amp;A2&amp;"."&amp;A2&amp;"."&amp;H15</f>
        <v>1.1.1.10</v>
      </c>
      <c r="F15" s="4" t="s">
        <v>38</v>
      </c>
      <c r="G15" s="4" t="s">
        <v>39</v>
      </c>
      <c r="H15" s="1">
        <v>10</v>
      </c>
      <c r="I15" s="1" t="b">
        <v>1</v>
      </c>
      <c r="J15" s="1"/>
    </row>
    <row r="16" spans="1:10" x14ac:dyDescent="0.25">
      <c r="A16" s="4" t="s">
        <v>40</v>
      </c>
      <c r="B16" s="4" t="s">
        <v>21</v>
      </c>
      <c r="C16" s="4" t="str">
        <f>172&amp;"."&amp;16&amp;"."&amp;0&amp;"."&amp;(H16+A2)</f>
        <v>172.16.0.31</v>
      </c>
      <c r="D16" s="4" t="s">
        <v>37</v>
      </c>
      <c r="E16" s="4" t="str">
        <f>A2&amp;"."&amp;A2&amp;"."&amp;A2&amp;"."&amp;H16</f>
        <v>1.1.1.30</v>
      </c>
      <c r="F16" s="4" t="s">
        <v>38</v>
      </c>
      <c r="G16" s="4" t="s">
        <v>39</v>
      </c>
      <c r="H16" s="1">
        <v>30</v>
      </c>
      <c r="I16" s="1" t="b">
        <v>1</v>
      </c>
      <c r="J16" s="1"/>
    </row>
    <row r="17" spans="1:7" x14ac:dyDescent="0.25">
      <c r="A17" s="4"/>
      <c r="B17" s="4"/>
      <c r="C17" s="4"/>
      <c r="D17" s="4"/>
      <c r="E17" s="4"/>
      <c r="F17" s="4"/>
      <c r="G1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16"/>
  <sheetViews>
    <sheetView tabSelected="1" workbookViewId="0">
      <selection activeCell="I15" sqref="I15:I16"/>
    </sheetView>
  </sheetViews>
  <sheetFormatPr defaultColWidth="12.6640625" defaultRowHeight="15.75" customHeight="1" x14ac:dyDescent="0.25"/>
  <cols>
    <col min="4" max="4" width="14.66406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0" x14ac:dyDescent="0.25">
      <c r="A2" s="1">
        <v>2</v>
      </c>
      <c r="B2" s="1" t="s">
        <v>6</v>
      </c>
      <c r="C2" s="1" t="str">
        <f>A2&amp;"."&amp;A2&amp;"."&amp;A2&amp;".0"</f>
        <v>2.2.2.0</v>
      </c>
      <c r="D2" s="1" t="s">
        <v>7</v>
      </c>
      <c r="E2" s="1" t="s">
        <v>8</v>
      </c>
      <c r="F2" s="1" t="s">
        <v>9</v>
      </c>
    </row>
    <row r="3" spans="1:10" x14ac:dyDescent="0.25">
      <c r="A3" s="2"/>
      <c r="B3" s="3"/>
      <c r="C3" s="2"/>
      <c r="D3" s="2"/>
      <c r="E3" s="2"/>
      <c r="F3" s="2"/>
      <c r="G3" s="2"/>
      <c r="H3" s="2"/>
    </row>
    <row r="4" spans="1:10" x14ac:dyDescent="0.25">
      <c r="A4" s="2" t="s">
        <v>10</v>
      </c>
      <c r="B4" s="3" t="s">
        <v>11</v>
      </c>
      <c r="C4" s="2" t="s">
        <v>12</v>
      </c>
      <c r="D4" s="2" t="s">
        <v>13</v>
      </c>
      <c r="E4" s="2" t="s">
        <v>14</v>
      </c>
      <c r="F4" s="2" t="s">
        <v>15</v>
      </c>
      <c r="G4" s="2" t="s">
        <v>16</v>
      </c>
      <c r="H4" s="2" t="s">
        <v>17</v>
      </c>
    </row>
    <row r="5" spans="1:10" x14ac:dyDescent="0.25">
      <c r="A5" s="4" t="s">
        <v>18</v>
      </c>
      <c r="B5" s="5">
        <v>10</v>
      </c>
      <c r="C5" s="4">
        <v>0</v>
      </c>
      <c r="D5" s="4" t="str">
        <f>10&amp;"."&amp;(B5+A2)&amp;"."&amp;0&amp;"."&amp;0</f>
        <v>10.12.0.0</v>
      </c>
      <c r="E5" s="4" t="str">
        <f t="shared" ref="E5:E7" si="0">LEFT(D5,LEN(D5)-1)&amp;"1"</f>
        <v>10.12.0.1</v>
      </c>
      <c r="F5" s="4" t="s">
        <v>19</v>
      </c>
      <c r="G5" s="4" t="str">
        <f t="shared" ref="G5:G7" si="1">LEFT(D5,LEN(D5)-1)&amp;"1"</f>
        <v>10.12.0.1</v>
      </c>
      <c r="H5" s="4" t="str">
        <f ca="1">IFERROR(__xludf.DUMMYFUNCTION("REGEXREPLACE(D5,""\.[0-9]+\.[0-9]+$"","".255.254"")"),"10.12.255.254")</f>
        <v>10.12.255.254</v>
      </c>
    </row>
    <row r="6" spans="1:10" x14ac:dyDescent="0.25">
      <c r="A6" s="4" t="s">
        <v>20</v>
      </c>
      <c r="B6" s="5">
        <v>20</v>
      </c>
      <c r="C6" s="4">
        <v>0</v>
      </c>
      <c r="D6" s="4" t="str">
        <f>10&amp;"."&amp;(B6+A2)&amp;"."&amp;0&amp;"."&amp;0</f>
        <v>10.22.0.0</v>
      </c>
      <c r="E6" s="4" t="str">
        <f t="shared" si="0"/>
        <v>10.22.0.1</v>
      </c>
      <c r="F6" s="4" t="s">
        <v>19</v>
      </c>
      <c r="G6" s="4" t="str">
        <f t="shared" si="1"/>
        <v>10.22.0.1</v>
      </c>
      <c r="H6" s="4" t="str">
        <f ca="1">IFERROR(__xludf.DUMMYFUNCTION("REGEXREPLACE(D6,""\.[0-9]+\.[0-9]+$"","".255.254"")"),"10.22.255.254")</f>
        <v>10.22.255.254</v>
      </c>
    </row>
    <row r="7" spans="1:10" x14ac:dyDescent="0.25">
      <c r="A7" s="4" t="s">
        <v>21</v>
      </c>
      <c r="B7" s="5">
        <v>30</v>
      </c>
      <c r="C7" s="4">
        <v>0</v>
      </c>
      <c r="D7" s="4" t="str">
        <f>10&amp;"."&amp;(B7+A2)&amp;"."&amp;0&amp;"."&amp;0</f>
        <v>10.32.0.0</v>
      </c>
      <c r="E7" s="4" t="str">
        <f t="shared" si="0"/>
        <v>10.32.0.1</v>
      </c>
      <c r="F7" s="4" t="s">
        <v>19</v>
      </c>
      <c r="G7" s="4" t="str">
        <f t="shared" si="1"/>
        <v>10.32.0.1</v>
      </c>
      <c r="H7" s="4" t="str">
        <f ca="1">IFERROR(__xludf.DUMMYFUNCTION("REGEXREPLACE(D7,""\.[0-9]+\.[0-9]+$"","".255.254"")"),"10.32.255.254")</f>
        <v>10.32.255.254</v>
      </c>
    </row>
    <row r="8" spans="1:10" x14ac:dyDescent="0.25">
      <c r="A8" s="6"/>
      <c r="B8" s="6"/>
    </row>
    <row r="9" spans="1:10" x14ac:dyDescent="0.25">
      <c r="A9" s="2" t="s">
        <v>10</v>
      </c>
      <c r="B9" s="3" t="s">
        <v>22</v>
      </c>
      <c r="C9" s="2" t="s">
        <v>23</v>
      </c>
      <c r="D9" s="2" t="s">
        <v>24</v>
      </c>
    </row>
    <row r="10" spans="1:10" x14ac:dyDescent="0.25">
      <c r="A10" s="4" t="s">
        <v>18</v>
      </c>
      <c r="B10" s="5" t="s">
        <v>25</v>
      </c>
      <c r="C10" s="4">
        <v>10</v>
      </c>
      <c r="D10" s="4" t="str">
        <f>A2&amp;"."&amp;A2&amp;"."&amp;A2&amp;"."&amp;(C10)</f>
        <v>2.2.2.10</v>
      </c>
    </row>
    <row r="11" spans="1:10" x14ac:dyDescent="0.25">
      <c r="A11" s="4" t="s">
        <v>20</v>
      </c>
      <c r="B11" s="5" t="s">
        <v>26</v>
      </c>
      <c r="C11" s="4">
        <v>20</v>
      </c>
      <c r="D11" s="4" t="str">
        <f>A2&amp;"."&amp;A2&amp;"."&amp;A2&amp;"."&amp;(C11)</f>
        <v>2.2.2.20</v>
      </c>
    </row>
    <row r="12" spans="1:10" x14ac:dyDescent="0.25">
      <c r="A12" s="4" t="s">
        <v>21</v>
      </c>
      <c r="B12" s="5" t="s">
        <v>27</v>
      </c>
      <c r="C12" s="4">
        <v>30</v>
      </c>
      <c r="D12" s="4" t="str">
        <f>A2&amp;"."&amp;A2&amp;"."&amp;A2&amp;"."&amp;(C12)</f>
        <v>2.2.2.30</v>
      </c>
    </row>
    <row r="14" spans="1:10" x14ac:dyDescent="0.25">
      <c r="A14" s="2" t="s">
        <v>28</v>
      </c>
      <c r="B14" s="2" t="s">
        <v>10</v>
      </c>
      <c r="C14" s="2" t="s">
        <v>29</v>
      </c>
      <c r="D14" s="2" t="s">
        <v>15</v>
      </c>
      <c r="E14" s="2" t="s">
        <v>30</v>
      </c>
      <c r="F14" s="2" t="s">
        <v>31</v>
      </c>
      <c r="G14" s="2" t="s">
        <v>32</v>
      </c>
      <c r="H14" s="1" t="s">
        <v>33</v>
      </c>
      <c r="I14" s="1" t="s">
        <v>34</v>
      </c>
      <c r="J14" s="1" t="s">
        <v>35</v>
      </c>
    </row>
    <row r="15" spans="1:10" x14ac:dyDescent="0.25">
      <c r="A15" s="4" t="s">
        <v>36</v>
      </c>
      <c r="B15" s="4" t="s">
        <v>18</v>
      </c>
      <c r="C15" s="4" t="str">
        <f>172&amp;"."&amp;16&amp;"."&amp;0&amp;"."&amp;(H15+A2)</f>
        <v>172.16.0.12</v>
      </c>
      <c r="D15" s="4" t="s">
        <v>37</v>
      </c>
      <c r="E15" s="4" t="str">
        <f>A2&amp;"."&amp;A2&amp;"."&amp;A2&amp;"."&amp;H15</f>
        <v>2.2.2.10</v>
      </c>
      <c r="F15" s="4" t="s">
        <v>38</v>
      </c>
      <c r="G15" s="4" t="s">
        <v>39</v>
      </c>
      <c r="H15" s="1">
        <v>10</v>
      </c>
      <c r="I15" s="1" t="b" cm="1">
        <f t="array" ref="I15">_xlfn.XLOOKUP(1,( 'Ark 1'!A:A=A15 )*( 'Ark 1'!B:B=B15 ),'Ark 1'!I:I)</f>
        <v>1</v>
      </c>
      <c r="J15" s="1"/>
    </row>
    <row r="16" spans="1:10" x14ac:dyDescent="0.25">
      <c r="A16" s="4" t="s">
        <v>40</v>
      </c>
      <c r="B16" s="4" t="s">
        <v>21</v>
      </c>
      <c r="C16" s="4" t="str">
        <f>172&amp;"."&amp;16&amp;"."&amp;0&amp;"."&amp;(H16+A2)</f>
        <v>172.16.0.32</v>
      </c>
      <c r="D16" s="4" t="s">
        <v>37</v>
      </c>
      <c r="E16" s="4" t="str">
        <f>A2&amp;"."&amp;A2&amp;"."&amp;A2&amp;"."&amp;H16</f>
        <v>2.2.2.30</v>
      </c>
      <c r="F16" s="4" t="s">
        <v>38</v>
      </c>
      <c r="G16" s="4" t="s">
        <v>39</v>
      </c>
      <c r="H16" s="1">
        <v>30</v>
      </c>
      <c r="I16" s="1" t="b" cm="1">
        <f t="array" ref="I16">_xlfn.XLOOKUP(1,( 'Ark 1'!A:A=A16 )*( 'Ark 1'!B:B=B16 ),'Ark 1'!I:I)</f>
        <v>1</v>
      </c>
      <c r="J1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6"/>
  <sheetViews>
    <sheetView workbookViewId="0">
      <selection activeCell="I17" sqref="I17"/>
    </sheetView>
  </sheetViews>
  <sheetFormatPr defaultColWidth="12.6640625" defaultRowHeight="15.75" customHeight="1" x14ac:dyDescent="0.25"/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0" x14ac:dyDescent="0.25">
      <c r="A2" s="1">
        <v>3</v>
      </c>
      <c r="B2" s="1" t="s">
        <v>6</v>
      </c>
      <c r="C2" s="1" t="str">
        <f>A2&amp;"."&amp;A2&amp;"."&amp;A2&amp;".0"</f>
        <v>3.3.3.0</v>
      </c>
      <c r="D2" s="1" t="s">
        <v>7</v>
      </c>
      <c r="E2" s="1" t="s">
        <v>8</v>
      </c>
      <c r="F2" s="1" t="s">
        <v>9</v>
      </c>
    </row>
    <row r="3" spans="1:10" x14ac:dyDescent="0.25">
      <c r="A3" s="2"/>
      <c r="B3" s="3"/>
      <c r="C3" s="2"/>
      <c r="D3" s="2"/>
      <c r="E3" s="2"/>
      <c r="F3" s="2"/>
      <c r="G3" s="2"/>
      <c r="H3" s="2"/>
    </row>
    <row r="4" spans="1:10" x14ac:dyDescent="0.25">
      <c r="A4" s="2" t="s">
        <v>10</v>
      </c>
      <c r="B4" s="3" t="s">
        <v>11</v>
      </c>
      <c r="C4" s="2" t="s">
        <v>12</v>
      </c>
      <c r="D4" s="2" t="s">
        <v>13</v>
      </c>
      <c r="E4" s="2" t="s">
        <v>14</v>
      </c>
      <c r="F4" s="2" t="s">
        <v>15</v>
      </c>
      <c r="G4" s="2" t="s">
        <v>16</v>
      </c>
      <c r="H4" s="2" t="s">
        <v>17</v>
      </c>
    </row>
    <row r="5" spans="1:10" x14ac:dyDescent="0.25">
      <c r="A5" s="4" t="s">
        <v>18</v>
      </c>
      <c r="B5" s="5">
        <v>10</v>
      </c>
      <c r="C5" s="4">
        <v>0</v>
      </c>
      <c r="D5" s="4" t="str">
        <f>10&amp;"."&amp;(B5+A2)&amp;"."&amp;0&amp;"."&amp;0</f>
        <v>10.13.0.0</v>
      </c>
      <c r="E5" s="4" t="str">
        <f t="shared" ref="E5:E7" si="0">LEFT(D5,LEN(D5)-1)&amp;"1"</f>
        <v>10.13.0.1</v>
      </c>
      <c r="F5" s="4" t="s">
        <v>19</v>
      </c>
      <c r="G5" s="4" t="str">
        <f t="shared" ref="G5:G7" si="1">LEFT(D5,LEN(D5)-1)&amp;"1"</f>
        <v>10.13.0.1</v>
      </c>
      <c r="H5" s="4" t="str">
        <f ca="1">IFERROR(__xludf.DUMMYFUNCTION("REGEXREPLACE(D5,""\.[0-9]+\.[0-9]+$"","".255.254"")"),"10.13.255.254")</f>
        <v>10.13.255.254</v>
      </c>
    </row>
    <row r="6" spans="1:10" x14ac:dyDescent="0.25">
      <c r="A6" s="4" t="s">
        <v>20</v>
      </c>
      <c r="B6" s="5">
        <v>20</v>
      </c>
      <c r="C6" s="4">
        <v>0</v>
      </c>
      <c r="D6" s="4" t="str">
        <f>10&amp;"."&amp;(B6+A2)&amp;"."&amp;0&amp;"."&amp;0</f>
        <v>10.23.0.0</v>
      </c>
      <c r="E6" s="4" t="str">
        <f t="shared" si="0"/>
        <v>10.23.0.1</v>
      </c>
      <c r="F6" s="4" t="s">
        <v>19</v>
      </c>
      <c r="G6" s="4" t="str">
        <f t="shared" si="1"/>
        <v>10.23.0.1</v>
      </c>
      <c r="H6" s="4" t="str">
        <f ca="1">IFERROR(__xludf.DUMMYFUNCTION("REGEXREPLACE(D6,""\.[0-9]+\.[0-9]+$"","".255.254"")"),"10.23.255.254")</f>
        <v>10.23.255.254</v>
      </c>
    </row>
    <row r="7" spans="1:10" x14ac:dyDescent="0.25">
      <c r="A7" s="4" t="s">
        <v>21</v>
      </c>
      <c r="B7" s="5">
        <v>30</v>
      </c>
      <c r="C7" s="4">
        <v>0</v>
      </c>
      <c r="D7" s="4" t="str">
        <f>10&amp;"."&amp;(B7+A2)&amp;"."&amp;0&amp;"."&amp;0</f>
        <v>10.33.0.0</v>
      </c>
      <c r="E7" s="4" t="str">
        <f t="shared" si="0"/>
        <v>10.33.0.1</v>
      </c>
      <c r="F7" s="4" t="s">
        <v>19</v>
      </c>
      <c r="G7" s="4" t="str">
        <f t="shared" si="1"/>
        <v>10.33.0.1</v>
      </c>
      <c r="H7" s="4" t="str">
        <f ca="1">IFERROR(__xludf.DUMMYFUNCTION("REGEXREPLACE(D7,""\.[0-9]+\.[0-9]+$"","".255.254"")"),"10.33.255.254")</f>
        <v>10.33.255.254</v>
      </c>
    </row>
    <row r="8" spans="1:10" x14ac:dyDescent="0.25">
      <c r="A8" s="6"/>
      <c r="B8" s="6"/>
    </row>
    <row r="9" spans="1:10" x14ac:dyDescent="0.25">
      <c r="A9" s="2" t="s">
        <v>10</v>
      </c>
      <c r="B9" s="3" t="s">
        <v>22</v>
      </c>
      <c r="C9" s="2" t="s">
        <v>23</v>
      </c>
      <c r="D9" s="2" t="s">
        <v>24</v>
      </c>
    </row>
    <row r="10" spans="1:10" x14ac:dyDescent="0.25">
      <c r="A10" s="4" t="s">
        <v>18</v>
      </c>
      <c r="B10" s="5" t="s">
        <v>25</v>
      </c>
      <c r="C10" s="4">
        <v>10</v>
      </c>
      <c r="D10" s="4" t="str">
        <f>A2&amp;"."&amp;A2&amp;"."&amp;A2&amp;"."&amp;(C10)</f>
        <v>3.3.3.10</v>
      </c>
    </row>
    <row r="11" spans="1:10" x14ac:dyDescent="0.25">
      <c r="A11" s="4" t="s">
        <v>20</v>
      </c>
      <c r="B11" s="5" t="s">
        <v>26</v>
      </c>
      <c r="C11" s="4">
        <v>20</v>
      </c>
      <c r="D11" s="4" t="str">
        <f>A2&amp;"."&amp;A2&amp;"."&amp;A2&amp;"."&amp;(C11)</f>
        <v>3.3.3.20</v>
      </c>
    </row>
    <row r="12" spans="1:10" x14ac:dyDescent="0.25">
      <c r="A12" s="4" t="s">
        <v>21</v>
      </c>
      <c r="B12" s="5" t="s">
        <v>27</v>
      </c>
      <c r="C12" s="4">
        <v>30</v>
      </c>
      <c r="D12" s="4" t="str">
        <f>A2&amp;"."&amp;A2&amp;"."&amp;A2&amp;"."&amp;(C12)</f>
        <v>3.3.3.30</v>
      </c>
    </row>
    <row r="14" spans="1:10" x14ac:dyDescent="0.25">
      <c r="A14" s="2" t="s">
        <v>28</v>
      </c>
      <c r="B14" s="2" t="s">
        <v>10</v>
      </c>
      <c r="C14" s="2" t="s">
        <v>29</v>
      </c>
      <c r="D14" s="2" t="s">
        <v>15</v>
      </c>
      <c r="E14" s="2" t="s">
        <v>30</v>
      </c>
      <c r="F14" s="2" t="s">
        <v>31</v>
      </c>
      <c r="G14" s="2" t="s">
        <v>32</v>
      </c>
      <c r="H14" s="1" t="s">
        <v>33</v>
      </c>
      <c r="I14" s="1" t="s">
        <v>34</v>
      </c>
      <c r="J14" s="1" t="s">
        <v>35</v>
      </c>
    </row>
    <row r="15" spans="1:10" x14ac:dyDescent="0.25">
      <c r="A15" s="4" t="s">
        <v>36</v>
      </c>
      <c r="B15" s="4" t="s">
        <v>18</v>
      </c>
      <c r="C15" s="4" t="str">
        <f>172&amp;"."&amp;16&amp;"."&amp;0&amp;"."&amp;(H15+A2)</f>
        <v>172.16.0.13</v>
      </c>
      <c r="D15" s="4" t="s">
        <v>37</v>
      </c>
      <c r="E15" s="4" t="str">
        <f>A2&amp;"."&amp;A2&amp;"."&amp;A2&amp;"."&amp;H15</f>
        <v>3.3.3.10</v>
      </c>
      <c r="F15" s="4" t="s">
        <v>38</v>
      </c>
      <c r="G15" s="4" t="s">
        <v>39</v>
      </c>
      <c r="H15" s="1">
        <v>10</v>
      </c>
      <c r="I15" s="1" t="b" cm="1">
        <f t="array" ref="I15">_xlfn.XLOOKUP(1,( 'Ark 1'!A:A=A15 )*( 'Ark 1'!B:B=B15 ),'Ark 1'!I:I)</f>
        <v>1</v>
      </c>
      <c r="J15" s="1"/>
    </row>
    <row r="16" spans="1:10" x14ac:dyDescent="0.25">
      <c r="A16" s="4" t="s">
        <v>40</v>
      </c>
      <c r="B16" s="4" t="s">
        <v>21</v>
      </c>
      <c r="C16" s="4" t="str">
        <f>172&amp;"."&amp;16&amp;"."&amp;0&amp;"."&amp;(H16+A2)</f>
        <v>172.16.0.33</v>
      </c>
      <c r="D16" s="4" t="s">
        <v>37</v>
      </c>
      <c r="E16" s="4" t="str">
        <f>A2&amp;"."&amp;A2&amp;"."&amp;A2&amp;"."&amp;H16</f>
        <v>3.3.3.30</v>
      </c>
      <c r="F16" s="4" t="s">
        <v>38</v>
      </c>
      <c r="G16" s="4" t="s">
        <v>39</v>
      </c>
      <c r="H16" s="1">
        <v>30</v>
      </c>
      <c r="I16" s="1" t="b" cm="1">
        <f t="array" ref="I16">_xlfn.XLOOKUP(1,( 'Ark 1'!A:A=A16 )*( 'Ark 1'!B:B=B16 ),'Ark 1'!I:I)</f>
        <v>1</v>
      </c>
      <c r="J1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Ark 1</vt:lpstr>
      <vt:lpstr>Ark 2</vt:lpstr>
      <vt:lpstr>Ark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2026-09-02T05:02:55Z</dcterms:modified>
</cp:coreProperties>
</file>