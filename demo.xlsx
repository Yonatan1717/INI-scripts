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onat\Videos\INI\"/>
    </mc:Choice>
  </mc:AlternateContent>
  <xr:revisionPtr revIDLastSave="0" documentId="13_ncr:1_{AF4FB680-C061-4FAC-AA77-E5AEE21A30C5}" xr6:coauthVersionLast="47" xr6:coauthVersionMax="47" xr10:uidLastSave="{00000000-0000-0000-0000-000000000000}"/>
  <bookViews>
    <workbookView xWindow="-120" yWindow="-120" windowWidth="51840" windowHeight="21120" activeTab="1" xr2:uid="{00000000-000D-0000-FFFF-FFFF00000000}"/>
  </bookViews>
  <sheets>
    <sheet name="Site 1 (HUB)" sheetId="1" r:id="rId1"/>
    <sheet name="Site 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2" l="1"/>
  <c r="I22" i="2"/>
  <c r="E22" i="2"/>
  <c r="C22" i="2"/>
  <c r="A19" i="2"/>
  <c r="A19" i="1"/>
  <c r="I16" i="2" a="1"/>
  <c r="I16" i="2" s="1"/>
  <c r="E16" i="2"/>
  <c r="C16" i="2"/>
  <c r="I15" i="2" a="1"/>
  <c r="I15" i="2" s="1"/>
  <c r="E15" i="2"/>
  <c r="C15" i="2"/>
  <c r="D12" i="2"/>
  <c r="D11" i="2"/>
  <c r="D10" i="2"/>
  <c r="H7" i="2"/>
  <c r="D7" i="2"/>
  <c r="H6" i="2"/>
  <c r="D6" i="2"/>
  <c r="H5" i="2"/>
  <c r="D5" i="2"/>
  <c r="C2" i="2"/>
  <c r="E16" i="1"/>
  <c r="C16" i="1"/>
  <c r="E15" i="1"/>
  <c r="C15" i="1"/>
  <c r="D12" i="1"/>
  <c r="D11" i="1"/>
  <c r="D10" i="1"/>
  <c r="H7" i="1"/>
  <c r="D7" i="1"/>
  <c r="E7" i="1" s="1"/>
  <c r="H6" i="1"/>
  <c r="D6" i="1"/>
  <c r="E6" i="1" s="1"/>
  <c r="H5" i="1"/>
  <c r="D5" i="1"/>
  <c r="G5" i="1" s="1"/>
  <c r="C2" i="1"/>
  <c r="E7" i="2" l="1"/>
  <c r="G7" i="2"/>
  <c r="E6" i="2"/>
  <c r="G6" i="2"/>
  <c r="E5" i="2"/>
  <c r="G5" i="2"/>
  <c r="E5" i="1"/>
  <c r="G6" i="1"/>
  <c r="G7" i="1"/>
</calcChain>
</file>

<file path=xl/sharedStrings.xml><?xml version="1.0" encoding="utf-8"?>
<sst xmlns="http://schemas.openxmlformats.org/spreadsheetml/2006/main" count="143" uniqueCount="49">
  <si>
    <t>site</t>
  </si>
  <si>
    <t>intf_prefix</t>
  </si>
  <si>
    <t>router-id</t>
  </si>
  <si>
    <t>brukernavn</t>
  </si>
  <si>
    <t>passord</t>
  </si>
  <si>
    <t>vty_lines</t>
  </si>
  <si>
    <t>admin</t>
  </si>
  <si>
    <t>cisco</t>
  </si>
  <si>
    <t>0 - 4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</si>
  <si>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</si>
  <si>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</si>
  <si>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</si>
  <si>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</si>
  <si>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</si>
  <si>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</si>
  <si>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</si>
  <si>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</si>
  <si>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MGMT</t>
  </si>
  <si>
    <t>255.255.0.0</t>
  </si>
  <si>
    <t>INET</t>
  </si>
  <si>
    <t>UNET</t>
  </si>
  <si>
    <t>rt</t>
  </si>
  <si>
    <t>loopback</t>
  </si>
  <si>
    <t>laddr</t>
  </si>
  <si>
    <t>1337:10</t>
  </si>
  <si>
    <t>1337:20</t>
  </si>
  <si>
    <t>1337:30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</si>
  <si>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</si>
  <si>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</si>
  <si>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</si>
  <si>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</si>
  <si>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</si>
  <si>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</si>
  <si>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</si>
  <si>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</si>
  <si>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</si>
  <si>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255.255.255.0</t>
  </si>
  <si>
    <t>multipoint</t>
  </si>
  <si>
    <t>tunnel 30</t>
  </si>
  <si>
    <t>antall-res</t>
  </si>
  <si>
    <t>pri-1-10</t>
  </si>
  <si>
    <t>SW</t>
  </si>
  <si>
    <t>MGMT Vlan</t>
  </si>
  <si>
    <t>MGMT ip</t>
  </si>
  <si>
    <t>vlan-antall</t>
  </si>
  <si>
    <t>num_ports</t>
  </si>
  <si>
    <t>g0/</t>
  </si>
  <si>
    <t>num_port_ledig</t>
  </si>
  <si>
    <t>pri-afxx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</si>
</sst>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sz val="8"/>
      <name val="Arial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113">
    <dxf>
      <numFmt numFmtId="0" formatCode="General"/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numFmt numFmtId="0" formatCode="General"/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numFmt numFmtId="0" formatCode="General"/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numFmt numFmtId="0" formatCode="General"/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6">
    <tableStyle name="Site 1 (HUB)-style" pivot="0" count="4" xr9:uid="{00000000-0011-0000-FFFF-FFFF00000000}">
      <tableStyleElement type="wholeTable" size="0" dxfId="112"/>
      <tableStyleElement type="headerRow" dxfId="111"/>
      <tableStyleElement type="firstRowStripe" dxfId="110"/>
      <tableStyleElement type="secondRowStripe" dxfId="109"/>
    </tableStyle>
    <tableStyle name="Site 3-style" pivot="0" count="4" xr9:uid="{00000000-0011-0000-FFFF-FFFF01000000}">
      <tableStyleElement type="wholeTable" size="0" dxfId="108"/>
      <tableStyleElement type="headerRow" dxfId="107"/>
      <tableStyleElement type="firstRowStripe" dxfId="106"/>
      <tableStyleElement type="secondRowStripe" dxfId="105"/>
    </tableStyle>
    <tableStyle name="Site 2-style" pivot="0" count="4" xr9:uid="{00000000-0011-0000-FFFF-FFFF02000000}">
      <tableStyleElement type="wholeTable" size="0" dxfId="104"/>
      <tableStyleElement type="headerRow" dxfId="103"/>
      <tableStyleElement type="firstRowStripe" dxfId="102"/>
      <tableStyleElement type="secondRowStripe" dxfId="101"/>
    </tableStyle>
    <tableStyle name="Site 4-style" pivot="0" count="4" xr9:uid="{00000000-0011-0000-FFFF-FFFF03000000}">
      <tableStyleElement type="wholeTable" size="0" dxfId="100"/>
      <tableStyleElement type="headerRow" dxfId="99"/>
      <tableStyleElement type="firstRowStripe" dxfId="98"/>
      <tableStyleElement type="secondRowStripe" dxfId="97"/>
    </tableStyle>
    <tableStyle name="Site 3-style 2" pivot="0" count="4" xr9:uid="{00000000-0011-0000-FFFF-FFFF04000000}">
      <tableStyleElement type="wholeTable" size="0" dxfId="96"/>
      <tableStyleElement type="headerRow" dxfId="95"/>
      <tableStyleElement type="firstRowStripe" dxfId="94"/>
      <tableStyleElement type="secondRowStripe" dxfId="93"/>
    </tableStyle>
    <tableStyle name="Site 1 (HUB)-style 2" pivot="0" count="4" xr9:uid="{00000000-0011-0000-FFFF-FFFF05000000}">
      <tableStyleElement type="wholeTable" size="0" dxfId="92"/>
      <tableStyleElement type="headerRow" dxfId="91"/>
      <tableStyleElement type="firstRowStripe" dxfId="90"/>
      <tableStyleElement type="secondRowStripe" dxfId="89"/>
    </tableStyle>
    <tableStyle name="Site 2-style 2" pivot="0" count="4" xr9:uid="{00000000-0011-0000-FFFF-FFFF06000000}">
      <tableStyleElement type="wholeTable" size="0" dxfId="88"/>
      <tableStyleElement type="headerRow" dxfId="87"/>
      <tableStyleElement type="firstRowStripe" dxfId="86"/>
      <tableStyleElement type="secondRowStripe" dxfId="85"/>
    </tableStyle>
    <tableStyle name="Site 3-style 3" pivot="0" count="4" xr9:uid="{00000000-0011-0000-FFFF-FFFF07000000}">
      <tableStyleElement type="wholeTable" size="0" dxfId="84"/>
      <tableStyleElement type="headerRow" dxfId="83"/>
      <tableStyleElement type="firstRowStripe" dxfId="82"/>
      <tableStyleElement type="secondRowStripe" dxfId="81"/>
    </tableStyle>
    <tableStyle name="Site 1 (HUB)-style 3" pivot="0" count="4" xr9:uid="{00000000-0011-0000-FFFF-FFFF08000000}">
      <tableStyleElement type="wholeTable" size="0" dxfId="80"/>
      <tableStyleElement type="headerRow" dxfId="79"/>
      <tableStyleElement type="firstRowStripe" dxfId="78"/>
      <tableStyleElement type="secondRowStripe" dxfId="77"/>
    </tableStyle>
    <tableStyle name="Site 4-style 2" pivot="0" count="4" xr9:uid="{00000000-0011-0000-FFFF-FFFF09000000}">
      <tableStyleElement type="wholeTable" size="0" dxfId="76"/>
      <tableStyleElement type="headerRow" dxfId="75"/>
      <tableStyleElement type="firstRowStripe" dxfId="74"/>
      <tableStyleElement type="secondRowStripe" dxfId="73"/>
    </tableStyle>
    <tableStyle name="Site 3-style 4" pivot="0" count="4" xr9:uid="{00000000-0011-0000-FFFF-FFFF0A000000}">
      <tableStyleElement type="wholeTable" size="0" dxfId="72"/>
      <tableStyleElement type="headerRow" dxfId="71"/>
      <tableStyleElement type="firstRowStripe" dxfId="70"/>
      <tableStyleElement type="secondRowStripe" dxfId="69"/>
    </tableStyle>
    <tableStyle name="Site 1 (HUB)-style 4" pivot="0" count="4" xr9:uid="{00000000-0011-0000-FFFF-FFFF0B000000}">
      <tableStyleElement type="wholeTable" size="0" dxfId="68"/>
      <tableStyleElement type="headerRow" dxfId="67"/>
      <tableStyleElement type="firstRowStripe" dxfId="66"/>
      <tableStyleElement type="secondRowStripe" dxfId="65"/>
    </tableStyle>
    <tableStyle name="Site 2-style 3" pivot="0" count="4" xr9:uid="{00000000-0011-0000-FFFF-FFFF0C000000}">
      <tableStyleElement type="wholeTable" size="0" dxfId="64"/>
      <tableStyleElement type="headerRow" dxfId="63"/>
      <tableStyleElement type="firstRowStripe" dxfId="62"/>
      <tableStyleElement type="secondRowStripe" dxfId="61"/>
    </tableStyle>
    <tableStyle name="Site 4-style 3" pivot="0" count="4" xr9:uid="{00000000-0011-0000-FFFF-FFFF0D000000}">
      <tableStyleElement type="wholeTable" size="0" dxfId="60"/>
      <tableStyleElement type="headerRow" dxfId="59"/>
      <tableStyleElement type="firstRowStripe" dxfId="58"/>
      <tableStyleElement type="secondRowStripe" dxfId="57"/>
    </tableStyle>
    <tableStyle name="Site 2-style 4" pivot="0" count="4" xr9:uid="{00000000-0011-0000-FFFF-FFFF0E000000}">
      <tableStyleElement type="wholeTable" size="0" dxfId="56"/>
      <tableStyleElement type="headerRow" dxfId="55"/>
      <tableStyleElement type="firstRowStripe" dxfId="54"/>
      <tableStyleElement type="secondRowStripe" dxfId="53"/>
    </tableStyle>
    <tableStyle name="Site 4-style 4" pivot="0" count="4" xr9:uid="{00000000-0011-0000-FFFF-FFFF0F000000}">
      <tableStyleElement type="wholeTable" size="0" dxfId="52"/>
      <tableStyleElement type="headerRow" dxfId="51"/>
      <tableStyleElement type="firstRowStripe" dxfId="50"/>
      <tableStyleElement type="secondRowStripe" dxfId="4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F2">
  <tableColumns count="6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</tableColumns>
  <tableStyleInfo name="Site 1 (HUB)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7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/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/>
    <tableColumn id="9" xr3:uid="{CE1C3544-35AB-45BD-B168-A59522955D24}" name="antall-res" dataDxfId="48"/>
    <tableColumn id="10" xr3:uid="{5AE4CD65-C2FF-447E-B037-873FB4F36B65}" name="pri-afxx"/>
    <tableColumn id="11" xr3:uid="{BBB41126-CDAD-40BD-92C3-0A8EEC64127E}" name="pri-1-10"/>
  </tableColumns>
  <tableStyleInfo name="Site 1 (HUB)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9:D12">
  <tableColumns count="4">
    <tableColumn id="1" xr3:uid="{00000000-0010-0000-0200-000001000000}" name="vrf"/>
    <tableColumn id="2" xr3:uid="{00000000-0010-0000-0200-000002000000}" name="rt"/>
    <tableColumn id="3" xr3:uid="{00000000-0010-0000-0200-000003000000}" name="loopback"/>
    <tableColumn id="4" xr3:uid="{00000000-0010-0000-0200-000004000000}" name="laddr"/>
  </tableColumns>
  <tableStyleInfo name="Site 1 (HUB)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4:J16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/>
    <tableColumn id="4" xr3:uid="{00000000-0010-0000-0300-000004000000}" name="mask"/>
    <tableColumn id="5" xr3:uid="{00000000-0010-0000-0300-000005000000}" name="source"/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Site 1 (HUB)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9D18493-1508-418F-A690-377066CBE6D1}" name="Tabell131921" displayName="Tabell131921" ref="A18:D19" headerRowDxfId="47" dataDxfId="46" totalsRowDxfId="45">
  <tableColumns count="4">
    <tableColumn id="1" xr3:uid="{2906F324-3A93-4FB9-9A3C-D48E0E017DE1}" name="site" dataDxfId="44">
      <calculatedColumnFormula>A2</calculatedColumnFormula>
    </tableColumn>
    <tableColumn id="2" xr3:uid="{EACB8E41-CE14-43F2-9E46-F1D9E473C840}" name="brukernavn" dataDxfId="43"/>
    <tableColumn id="4" xr3:uid="{BDD570DD-38B1-4E0D-8E69-41BC5527F423}" name="passord" dataDxfId="42"/>
    <tableColumn id="5" xr3:uid="{0C9E5C25-E441-46FF-92BD-E2BEA9C8A2C6}" name="vty_lines" dataDxfId="41"/>
  </tableColumns>
  <tableStyleInfo name="Site 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80770F74-6AF8-4ED1-9361-404458E55511}" name="Tabell16182428" displayName="Tabell16182428" ref="A21:I22" insertRow="1" headerRowDxfId="18" dataDxfId="17" totalsRowDxfId="16">
  <tableColumns count="9">
    <tableColumn id="1" xr3:uid="{1B73E0C7-C498-41F8-BAC8-7E845E00CB65}" name="SW" dataDxfId="40"/>
    <tableColumn id="2" xr3:uid="{55746631-7369-4BB6-92AF-BC912FBA9E5B}" name="MGMT Vlan" dataDxfId="39"/>
    <tableColumn id="3" xr3:uid="{33D1D208-4592-452F-9EE7-3DD24275FDDC}" name="MGMT ip" dataDxfId="38">
      <calculatedColumnFormula>LEFT($G$5,LEN($G$5)-1)&amp;(RIGHT($G$5,1)+A22)</calculatedColumnFormula>
    </tableColumn>
    <tableColumn id="4" xr3:uid="{300ED09A-B325-432A-824C-60A4545FEF10}" name="gateway" dataDxfId="37">
      <calculatedColumnFormula>$E$5</calculatedColumnFormula>
    </tableColumn>
    <tableColumn id="5" xr3:uid="{DE41E3AD-2DD4-4E00-AAA7-E16DA0B7B327}" name="mask" dataDxfId="36">
      <calculatedColumnFormula>$F$5</calculatedColumnFormula>
    </tableColumn>
    <tableColumn id="6" xr3:uid="{10A4DA4A-2584-4B29-9285-F3E796366BC6}" name="vlan-antall" dataDxfId="35" totalsRowDxfId="34"/>
    <tableColumn id="7" xr3:uid="{40A0DCDD-4793-4C04-AB5A-E199F256A0D9}" name="num_ports" dataDxfId="33" totalsRowDxfId="32"/>
    <tableColumn id="8" xr3:uid="{D6B9E8CD-F7E4-4AF1-8D5B-45A78B5D62E7}" name="intf_prefix" dataDxfId="31" totalsRowDxfId="30"/>
    <tableColumn id="9" xr3:uid="{03637906-AC3E-4DB7-AEDB-025CDAD6ADBA}" name="num_port_ledig" dataDxfId="29" totalsRowDxfId="28">
      <calculatedColumnFormula>$G22-3</calculatedColumnFormula>
    </tableColumn>
  </tableColumns>
  <tableStyleInfo name="Site 4-style 4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abell1" displayName="Tabell1" ref="A1:F2">
  <tableColumns count="6">
    <tableColumn id="1" xr3:uid="{00000000-0010-0000-0400-000001000000}" name="site"/>
    <tableColumn id="2" xr3:uid="{00000000-0010-0000-0400-000002000000}" name="intf_prefix"/>
    <tableColumn id="3" xr3:uid="{00000000-0010-0000-0400-000003000000}" name="router-id"/>
    <tableColumn id="4" xr3:uid="{00000000-0010-0000-0400-000004000000}" name="brukernavn"/>
    <tableColumn id="5" xr3:uid="{00000000-0010-0000-0400-000005000000}" name="passord"/>
    <tableColumn id="6" xr3:uid="{00000000-0010-0000-0400-000006000000}" name="vty_lines"/>
  </tableColumns>
  <tableStyleInfo name="Site 2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abell2" displayName="Tabell2" ref="A4:K7">
  <tableColumns count="11">
    <tableColumn id="1" xr3:uid="{00000000-0010-0000-0500-000001000000}" name="vrf"/>
    <tableColumn id="2" xr3:uid="{00000000-0010-0000-0500-000002000000}" name="vlan"/>
    <tableColumn id="3" xr3:uid="{00000000-0010-0000-0500-000003000000}" name="interface"/>
    <tableColumn id="4" xr3:uid="{00000000-0010-0000-0500-000004000000}" name="nett id"/>
    <tableColumn id="5" xr3:uid="{00000000-0010-0000-0500-000005000000}" name="gateway"/>
    <tableColumn id="6" xr3:uid="{00000000-0010-0000-0500-000006000000}" name="mask"/>
    <tableColumn id="7" xr3:uid="{00000000-0010-0000-0500-000007000000}" name="address min"/>
    <tableColumn id="8" xr3:uid="{00000000-0010-0000-0500-000008000000}" name="address max"/>
    <tableColumn id="9" xr3:uid="{FD71411A-F46A-4E62-B3D3-4B0E2ED5C489}" name="antall-res" dataDxfId="27"/>
    <tableColumn id="10" xr3:uid="{10BC51DC-9FCC-48A1-8D71-0913AE61C798}" name="pri-afxx"/>
    <tableColumn id="11" xr3:uid="{1CC9D42E-8B8D-4781-B4E6-7B024D0D4DB5}" name="pri-1-10"/>
  </tableColumns>
  <tableStyleInfo name="Site 2-style 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6000000}" name="Tabell3" displayName="Tabell3" ref="A9:D12">
  <tableColumns count="4">
    <tableColumn id="1" xr3:uid="{00000000-0010-0000-0600-000001000000}" name="vrf"/>
    <tableColumn id="2" xr3:uid="{00000000-0010-0000-0600-000002000000}" name="rt"/>
    <tableColumn id="3" xr3:uid="{00000000-0010-0000-0600-000003000000}" name="loopback"/>
    <tableColumn id="4" xr3:uid="{00000000-0010-0000-0600-000004000000}" name="laddr"/>
  </tableColumns>
  <tableStyleInfo name="Site 2-style 3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7000000}" name="Tabell4" displayName="Tabell4" ref="A14:J16">
  <tableColumns count="10">
    <tableColumn id="1" xr3:uid="{00000000-0010-0000-0700-000001000000}" name="tunnel id"/>
    <tableColumn id="2" xr3:uid="{00000000-0010-0000-0700-000002000000}" name="vrf"/>
    <tableColumn id="3" xr3:uid="{00000000-0010-0000-0700-000003000000}" name="ip address"/>
    <tableColumn id="4" xr3:uid="{00000000-0010-0000-0700-000004000000}" name="mask"/>
    <tableColumn id="5" xr3:uid="{00000000-0010-0000-0700-000005000000}" name="source"/>
    <tableColumn id="6" xr3:uid="{00000000-0010-0000-0700-000006000000}" name="destination"/>
    <tableColumn id="7" xr3:uid="{00000000-0010-0000-0700-000007000000}" name="gre mode"/>
    <tableColumn id="8" xr3:uid="{00000000-0010-0000-0700-000008000000}" name="network-id"/>
    <tableColumn id="9" xr3:uid="{00000000-0010-0000-0700-000009000000}" name="ipsec"/>
    <tableColumn id="10" xr3:uid="{00000000-0010-0000-0700-00000A000000}" name="ipsec key"/>
  </tableColumns>
  <tableStyleInfo name="Site 2-style 4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EA312CD4-9955-4DBC-87B3-6D788BE89D2E}" name="Tabell13192530" displayName="Tabell13192530" ref="A18:D19" headerRowDxfId="26" dataDxfId="25" totalsRowDxfId="24">
  <tableColumns count="4">
    <tableColumn id="1" xr3:uid="{FCAD462F-C9DE-45E3-B342-8BC685D1666E}" name="site" dataDxfId="23">
      <calculatedColumnFormula>A2</calculatedColumnFormula>
    </tableColumn>
    <tableColumn id="4" xr3:uid="{A37D0432-8751-44ED-8106-422243C1F04B}" name="brukernavn" dataDxfId="22"/>
    <tableColumn id="5" xr3:uid="{1A9A17E0-8442-4E89-96DC-BC0A8BECBBCA}" name="passord" dataDxfId="21"/>
    <tableColumn id="3" xr3:uid="{F0C81F5E-B27A-43FB-83C1-1FEB580854DE}" name="vty_lines" dataDxfId="20" totalsRowDxfId="19"/>
  </tableColumns>
  <tableStyleInfo name="Site 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46730A-1530-4A6C-8C70-0F2C6BF9753C}" name="Tabell161824282" displayName="Tabell161824282" ref="A21:I22" headerRowDxfId="15" dataDxfId="14" totalsRowDxfId="13">
  <tableColumns count="9">
    <tableColumn id="1" xr3:uid="{15F3A197-501D-4FB4-9993-D97C276F45D1}" name="SW" dataDxfId="12"/>
    <tableColumn id="2" xr3:uid="{74DD496A-588F-4B13-B651-6375E15475E0}" name="MGMT Vlan" dataDxfId="11"/>
    <tableColumn id="3" xr3:uid="{DADAFDFC-5D9A-4BEF-83FF-73C8B73914A7}" name="MGMT ip" dataDxfId="10">
      <calculatedColumnFormula>LEFT($G$5,LEN($G$5)-1)&amp;(RIGHT($G$5,1)+A22)</calculatedColumnFormula>
    </tableColumn>
    <tableColumn id="4" xr3:uid="{42D46B63-EECB-4A1E-9799-D2E7774B9BCD}" name="gateway" dataDxfId="9">
      <calculatedColumnFormula>$E$5</calculatedColumnFormula>
    </tableColumn>
    <tableColumn id="5" xr3:uid="{0BA7E9B1-43B9-44A7-AEF2-587DFD6DB8EE}" name="mask" dataDxfId="8">
      <calculatedColumnFormula>$F$5</calculatedColumnFormula>
    </tableColumn>
    <tableColumn id="6" xr3:uid="{5B7AA8BC-D315-4E8D-8528-C2AE65848FDF}" name="vlan-antall" dataDxfId="6" totalsRowDxfId="7"/>
    <tableColumn id="7" xr3:uid="{1088FF3C-FB1C-4E78-BE34-551D9AC36C3C}" name="num_ports" dataDxfId="4" totalsRowDxfId="5"/>
    <tableColumn id="8" xr3:uid="{19FD676B-E225-4461-8031-718593F85D50}" name="intf_prefix" dataDxfId="2" totalsRowDxfId="3"/>
    <tableColumn id="9" xr3:uid="{B26584E6-2A20-4139-9852-FBB25CD74431}" name="num_port_ledig" dataDxfId="0" totalsRowDxfId="1">
      <calculatedColumnFormula>$G22-3</calculatedColumnFormula>
    </tableColumn>
  </tableColumns>
  <tableStyleInfo name="Site 4-style 4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workbookViewId="0">
      <pane ySplit="1" topLeftCell="A2" activePane="bottomLeft" state="frozen"/>
      <selection pane="bottomLeft" activeCell="G40" sqref="G40"/>
    </sheetView>
  </sheetViews>
  <sheetFormatPr defaultColWidth="12.5703125" defaultRowHeight="15" customHeight="1" x14ac:dyDescent="0.2"/>
  <cols>
    <col min="1" max="1" width="12.5703125" customWidth="1"/>
    <col min="2" max="2" width="12.7109375" customWidth="1"/>
    <col min="3" max="4" width="23.85546875" customWidth="1"/>
    <col min="5" max="6" width="12.5703125" customWidth="1"/>
    <col min="7" max="7" width="23.28515625" customWidth="1"/>
    <col min="9" max="9" width="18.42578125" customWidth="1"/>
  </cols>
  <sheetData>
    <row r="1" spans="1:11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1" ht="15.75" customHeight="1" x14ac:dyDescent="0.2">
      <c r="A2" s="2">
        <v>1</v>
      </c>
      <c r="B2" s="2" t="s">
        <v>46</v>
      </c>
      <c r="C2" s="2" t="str">
        <f>A2&amp;"."&amp;A2&amp;"."&amp;A2&amp;".0"</f>
        <v>1.1.1.0</v>
      </c>
      <c r="D2" s="2" t="s">
        <v>6</v>
      </c>
      <c r="E2" s="2" t="s">
        <v>7</v>
      </c>
      <c r="F2" s="2" t="s">
        <v>8</v>
      </c>
    </row>
    <row r="3" spans="1:11" ht="15.75" customHeight="1" x14ac:dyDescent="0.25">
      <c r="A3" s="3"/>
      <c r="B3" s="4"/>
      <c r="C3" s="3"/>
      <c r="D3" s="3"/>
      <c r="E3" s="3"/>
      <c r="F3" s="3"/>
      <c r="G3" s="3"/>
      <c r="H3" s="3"/>
    </row>
    <row r="4" spans="1:11" ht="15.75" customHeight="1" x14ac:dyDescent="0.2">
      <c r="A4" s="5" t="s">
        <v>9</v>
      </c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39</v>
      </c>
      <c r="J4" s="14" t="s">
        <v>48</v>
      </c>
      <c r="K4" s="14" t="s">
        <v>40</v>
      </c>
    </row>
    <row r="5" spans="1:11" ht="15.75" customHeight="1" x14ac:dyDescent="0.2">
      <c r="A5" s="6" t="s">
        <v>17</v>
      </c>
      <c r="B5" s="7">
        <v>10</v>
      </c>
      <c r="C5" s="6">
        <v>0</v>
      </c>
      <c r="D5" s="6" t="str">
        <f>10&amp;"."&amp;(B5+A2)&amp;"."&amp;0&amp;"."&amp;0</f>
        <v>10.11.0.0</v>
      </c>
      <c r="E5" s="6" t="str">
        <f t="shared" ref="E5:E7" si="0">LEFT(D5,LEN(D5)-1)&amp;"1"</f>
        <v>10.11.0.1</v>
      </c>
      <c r="F5" s="6" t="s">
        <v>18</v>
      </c>
      <c r="G5" s="6" t="str">
        <f t="shared" ref="G5:G7" si="1">LEFT(D5,LEN(D5)-1)&amp;"1"</f>
        <v>10.11.0.1</v>
      </c>
      <c r="H5" s="6" t="str">
        <f ca="1">IFERROR(__xludf.DUMMYFUNCTION("REGEXREPLACE(D5,""\.[0-9]+\.[0-9]+$"","".255.254"")"),"10.11.255.254")</f>
        <v>10.11.255.254</v>
      </c>
      <c r="I5" s="6">
        <v>10</v>
      </c>
      <c r="J5" s="15">
        <v>21</v>
      </c>
      <c r="K5" s="15">
        <v>5</v>
      </c>
    </row>
    <row r="6" spans="1:11" ht="15.75" customHeight="1" x14ac:dyDescent="0.2">
      <c r="A6" s="6" t="s">
        <v>19</v>
      </c>
      <c r="B6" s="7">
        <v>20</v>
      </c>
      <c r="C6" s="6">
        <v>0</v>
      </c>
      <c r="D6" s="6" t="str">
        <f>10&amp;"."&amp;(B6+A2)&amp;"."&amp;0&amp;"."&amp;0</f>
        <v>10.21.0.0</v>
      </c>
      <c r="E6" s="6" t="str">
        <f t="shared" si="0"/>
        <v>10.21.0.1</v>
      </c>
      <c r="F6" s="6" t="s">
        <v>18</v>
      </c>
      <c r="G6" s="6" t="str">
        <f t="shared" si="1"/>
        <v>10.21.0.1</v>
      </c>
      <c r="H6" s="6" t="str">
        <f ca="1">IFERROR(__xludf.DUMMYFUNCTION("REGEXREPLACE(D6,""\.[0-9]+\.[0-9]+$"","".255.254"")"),"10.21.255.254")</f>
        <v>10.21.255.254</v>
      </c>
      <c r="I6" s="6">
        <v>10</v>
      </c>
      <c r="J6" s="15">
        <v>11</v>
      </c>
      <c r="K6" s="15">
        <v>2</v>
      </c>
    </row>
    <row r="7" spans="1:11" ht="15.75" customHeight="1" x14ac:dyDescent="0.2">
      <c r="A7" s="6" t="s">
        <v>20</v>
      </c>
      <c r="B7" s="7">
        <v>30</v>
      </c>
      <c r="C7" s="6">
        <v>0</v>
      </c>
      <c r="D7" s="6" t="str">
        <f>10&amp;"."&amp;(B7+A2)&amp;"."&amp;0&amp;"."&amp;0</f>
        <v>10.31.0.0</v>
      </c>
      <c r="E7" s="6" t="str">
        <f t="shared" si="0"/>
        <v>10.31.0.1</v>
      </c>
      <c r="F7" s="6" t="s">
        <v>18</v>
      </c>
      <c r="G7" s="6" t="str">
        <f t="shared" si="1"/>
        <v>10.31.0.1</v>
      </c>
      <c r="H7" s="6" t="str">
        <f ca="1">IFERROR(__xludf.DUMMYFUNCTION("REGEXREPLACE(D7,""\.[0-9]+\.[0-9]+$"","".255.254"")"),"10.31.255.254")</f>
        <v>10.31.255.254</v>
      </c>
      <c r="I7" s="6">
        <v>10</v>
      </c>
      <c r="J7">
        <v>41</v>
      </c>
      <c r="K7">
        <v>10</v>
      </c>
    </row>
    <row r="8" spans="1:11" ht="15.75" customHeight="1" x14ac:dyDescent="0.2">
      <c r="A8" s="8"/>
      <c r="B8" s="8"/>
    </row>
    <row r="9" spans="1:11" ht="15.75" customHeight="1" x14ac:dyDescent="0.2">
      <c r="A9" s="5" t="s">
        <v>9</v>
      </c>
      <c r="B9" s="5" t="s">
        <v>21</v>
      </c>
      <c r="C9" s="5" t="s">
        <v>22</v>
      </c>
      <c r="D9" s="5" t="s">
        <v>23</v>
      </c>
    </row>
    <row r="10" spans="1:11" ht="15.75" customHeight="1" x14ac:dyDescent="0.2">
      <c r="A10" s="6" t="s">
        <v>17</v>
      </c>
      <c r="B10" s="7" t="s">
        <v>24</v>
      </c>
      <c r="C10" s="6">
        <v>10</v>
      </c>
      <c r="D10" s="6" t="str">
        <f>A2&amp;"."&amp;A2&amp;"."&amp;A2&amp;"."&amp;(C10)</f>
        <v>1.1.1.10</v>
      </c>
    </row>
    <row r="11" spans="1:11" ht="15.75" customHeight="1" x14ac:dyDescent="0.2">
      <c r="A11" s="6" t="s">
        <v>19</v>
      </c>
      <c r="B11" s="7" t="s">
        <v>25</v>
      </c>
      <c r="C11" s="6">
        <v>20</v>
      </c>
      <c r="D11" s="6" t="str">
        <f>A2&amp;"."&amp;A2&amp;"."&amp;A2&amp;"."&amp;(C11)</f>
        <v>1.1.1.20</v>
      </c>
    </row>
    <row r="12" spans="1:11" ht="15.75" customHeight="1" x14ac:dyDescent="0.2">
      <c r="A12" s="6" t="s">
        <v>20</v>
      </c>
      <c r="B12" s="7" t="s">
        <v>26</v>
      </c>
      <c r="C12" s="6">
        <v>30</v>
      </c>
      <c r="D12" s="6" t="str">
        <f>A2&amp;"."&amp;A2&amp;"."&amp;A2&amp;"."&amp;(C12)</f>
        <v>1.1.1.30</v>
      </c>
    </row>
    <row r="13" spans="1:11" ht="15.75" customHeight="1" x14ac:dyDescent="0.2"/>
    <row r="14" spans="1:11" ht="15.75" customHeight="1" x14ac:dyDescent="0.2">
      <c r="A14" s="5" t="s">
        <v>27</v>
      </c>
      <c r="B14" s="5" t="s">
        <v>9</v>
      </c>
      <c r="C14" s="5" t="s">
        <v>28</v>
      </c>
      <c r="D14" s="5" t="s">
        <v>14</v>
      </c>
      <c r="E14" s="5" t="s">
        <v>29</v>
      </c>
      <c r="F14" s="5" t="s">
        <v>30</v>
      </c>
      <c r="G14" s="5" t="s">
        <v>31</v>
      </c>
      <c r="H14" s="1" t="s">
        <v>32</v>
      </c>
      <c r="I14" s="1" t="s">
        <v>33</v>
      </c>
      <c r="J14" s="1" t="s">
        <v>34</v>
      </c>
    </row>
    <row r="15" spans="1:11" ht="15.75" customHeight="1" x14ac:dyDescent="0.2">
      <c r="A15" s="6" t="s">
        <v>35</v>
      </c>
      <c r="B15" s="6" t="s">
        <v>17</v>
      </c>
      <c r="C15" s="6" t="str">
        <f>172&amp;"."&amp;16&amp;"."&amp;0&amp;"."&amp;(H15+A2)</f>
        <v>172.16.0.11</v>
      </c>
      <c r="D15" s="6" t="s">
        <v>36</v>
      </c>
      <c r="E15" s="6" t="str">
        <f>A2&amp;"."&amp;A2&amp;"."&amp;A2&amp;"."&amp;H15</f>
        <v>1.1.1.10</v>
      </c>
      <c r="F15" s="6"/>
      <c r="G15" s="6" t="s">
        <v>37</v>
      </c>
      <c r="H15" s="2">
        <v>10</v>
      </c>
      <c r="I15" s="2"/>
      <c r="J15" s="2"/>
    </row>
    <row r="16" spans="1:11" ht="15.75" customHeight="1" x14ac:dyDescent="0.2">
      <c r="A16" s="6" t="s">
        <v>38</v>
      </c>
      <c r="B16" s="6" t="s">
        <v>20</v>
      </c>
      <c r="C16" s="6" t="str">
        <f>172&amp;"."&amp;16&amp;"."&amp;0&amp;"."&amp;(H16+A2)</f>
        <v>172.16.0.31</v>
      </c>
      <c r="D16" s="6" t="s">
        <v>36</v>
      </c>
      <c r="E16" s="6" t="str">
        <f>A2&amp;"."&amp;A2&amp;"."&amp;A2&amp;"."&amp;H16</f>
        <v>1.1.1.30</v>
      </c>
      <c r="F16" s="6"/>
      <c r="G16" s="6" t="s">
        <v>37</v>
      </c>
      <c r="H16" s="2">
        <v>30</v>
      </c>
      <c r="I16" s="2" t="b">
        <v>1</v>
      </c>
      <c r="J16" s="2"/>
    </row>
    <row r="17" spans="1:9" ht="15.75" customHeight="1" x14ac:dyDescent="0.2">
      <c r="A17" s="9"/>
      <c r="B17" s="9"/>
      <c r="C17" s="9"/>
      <c r="D17" s="9"/>
      <c r="E17" s="9"/>
      <c r="F17" s="9"/>
      <c r="G17" s="9"/>
    </row>
    <row r="18" spans="1:9" ht="15.75" customHeight="1" x14ac:dyDescent="0.2">
      <c r="A18" s="10" t="s">
        <v>0</v>
      </c>
      <c r="B18" s="10" t="s">
        <v>3</v>
      </c>
      <c r="C18" s="10" t="s">
        <v>4</v>
      </c>
      <c r="D18" s="10" t="s">
        <v>5</v>
      </c>
    </row>
    <row r="19" spans="1:9" ht="15.75" customHeight="1" x14ac:dyDescent="0.2">
      <c r="A19" s="11">
        <f>A2</f>
        <v>1</v>
      </c>
      <c r="B19" s="11" t="s">
        <v>6</v>
      </c>
      <c r="C19" s="11" t="s">
        <v>7</v>
      </c>
      <c r="D19" s="11" t="s">
        <v>8</v>
      </c>
    </row>
    <row r="20" spans="1:9" ht="15.75" customHeight="1" x14ac:dyDescent="0.2"/>
    <row r="21" spans="1:9" ht="15.75" customHeight="1" x14ac:dyDescent="0.2">
      <c r="A21" s="5" t="s">
        <v>41</v>
      </c>
      <c r="B21" s="5" t="s">
        <v>42</v>
      </c>
      <c r="C21" s="5" t="s">
        <v>43</v>
      </c>
      <c r="D21" s="5" t="s">
        <v>13</v>
      </c>
      <c r="E21" s="5" t="s">
        <v>14</v>
      </c>
      <c r="F21" s="5" t="s">
        <v>44</v>
      </c>
      <c r="G21" s="10" t="s">
        <v>45</v>
      </c>
      <c r="H21" s="10" t="s">
        <v>1</v>
      </c>
      <c r="I21" s="10" t="s">
        <v>47</v>
      </c>
    </row>
    <row r="22" spans="1:9" ht="15.75" customHeight="1" x14ac:dyDescent="0.2">
      <c r="A22" s="6"/>
      <c r="B22" s="6"/>
      <c r="C22" s="6"/>
      <c r="D22" s="6"/>
      <c r="E22" s="6"/>
      <c r="F22" s="6"/>
      <c r="G22" s="11"/>
      <c r="H22" s="11"/>
      <c r="I22" s="11"/>
    </row>
    <row r="23" spans="1:9" ht="15.75" customHeight="1" x14ac:dyDescent="0.2"/>
    <row r="24" spans="1:9" ht="15.75" customHeight="1" x14ac:dyDescent="0.2"/>
    <row r="25" spans="1:9" ht="15.75" customHeight="1" x14ac:dyDescent="0.2"/>
    <row r="26" spans="1:9" ht="15.75" customHeight="1" x14ac:dyDescent="0.2"/>
    <row r="27" spans="1:9" ht="15.75" customHeight="1" x14ac:dyDescent="0.2"/>
    <row r="28" spans="1:9" ht="15.75" customHeight="1" x14ac:dyDescent="0.2"/>
    <row r="29" spans="1:9" ht="15.75" customHeight="1" x14ac:dyDescent="0.2"/>
    <row r="30" spans="1:9" ht="15.75" customHeight="1" x14ac:dyDescent="0.2"/>
    <row r="31" spans="1:9" ht="15.75" customHeight="1" x14ac:dyDescent="0.2"/>
    <row r="32" spans="1:9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honeticPr fontId="6" type="noConversion"/>
  <dataValidations count="1">
    <dataValidation type="custom" allowBlank="1" showInputMessage="1" showErrorMessage="1" sqref="F22" xr:uid="{E30D0828-D6F0-4F57-98C2-21AEB5B698E8}">
      <formula1>IF(F22="",TRUE,SUM(--_xlfn.TEXTAFTER(_xlfn.TEXTSPLIT(F22,"-"),"."))&lt;=$G22-3)</formula1>
    </dataValidation>
  </dataValidations>
  <pageMargins left="0.7" right="0.7" top="0.75" bottom="0.75" header="0" footer="0"/>
  <pageSetup orientation="landscape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994"/>
  <sheetViews>
    <sheetView tabSelected="1" workbookViewId="0">
      <pane ySplit="1" topLeftCell="A2" activePane="bottomLeft" state="frozen"/>
      <selection pane="bottomLeft" activeCell="M12" sqref="M12"/>
    </sheetView>
  </sheetViews>
  <sheetFormatPr defaultColWidth="12.5703125" defaultRowHeight="15" customHeight="1" x14ac:dyDescent="0.2"/>
  <cols>
    <col min="1" max="1" width="12.5703125" customWidth="1"/>
    <col min="2" max="2" width="12.7109375" customWidth="1"/>
    <col min="3" max="3" width="12.5703125" customWidth="1"/>
    <col min="4" max="4" width="14.5703125" customWidth="1"/>
    <col min="5" max="6" width="12.5703125" customWidth="1"/>
    <col min="8" max="8" width="14.85546875" customWidth="1"/>
    <col min="9" max="9" width="26.5703125" customWidth="1"/>
  </cols>
  <sheetData>
    <row r="1" spans="1:11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1" ht="15.75" customHeight="1" x14ac:dyDescent="0.2">
      <c r="A2" s="2">
        <v>2</v>
      </c>
      <c r="B2" s="2" t="s">
        <v>46</v>
      </c>
      <c r="C2" s="2" t="str">
        <f>A2&amp;"."&amp;A2&amp;"."&amp;A2&amp;".0"</f>
        <v>2.2.2.0</v>
      </c>
      <c r="D2" s="2" t="s">
        <v>6</v>
      </c>
      <c r="E2" s="2" t="s">
        <v>7</v>
      </c>
      <c r="F2" s="2" t="s">
        <v>8</v>
      </c>
    </row>
    <row r="3" spans="1:11" ht="15.75" customHeight="1" x14ac:dyDescent="0.25">
      <c r="A3" s="3"/>
      <c r="B3" s="4"/>
      <c r="C3" s="3"/>
      <c r="D3" s="3"/>
      <c r="E3" s="3"/>
      <c r="F3" s="3"/>
      <c r="G3" s="3"/>
      <c r="H3" s="3"/>
    </row>
    <row r="4" spans="1:11" ht="31.5" customHeight="1" x14ac:dyDescent="0.2">
      <c r="A4" s="5" t="s">
        <v>9</v>
      </c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G4" s="12" t="s">
        <v>15</v>
      </c>
      <c r="H4" s="12" t="s">
        <v>16</v>
      </c>
      <c r="I4" s="12" t="s">
        <v>39</v>
      </c>
      <c r="J4" s="14" t="s">
        <v>48</v>
      </c>
      <c r="K4" s="14" t="s">
        <v>40</v>
      </c>
    </row>
    <row r="5" spans="1:11" ht="15.75" customHeight="1" x14ac:dyDescent="0.2">
      <c r="A5" s="6" t="s">
        <v>17</v>
      </c>
      <c r="B5" s="7">
        <v>10</v>
      </c>
      <c r="C5" s="6">
        <v>0</v>
      </c>
      <c r="D5" s="6" t="str">
        <f>10&amp;"."&amp;(B5+A2)&amp;"."&amp;0&amp;"."&amp;0</f>
        <v>10.12.0.0</v>
      </c>
      <c r="E5" s="6" t="str">
        <f t="shared" ref="E5:E7" si="0">LEFT(D5,LEN(D5)-1)&amp;"1"</f>
        <v>10.12.0.1</v>
      </c>
      <c r="F5" s="6" t="s">
        <v>18</v>
      </c>
      <c r="G5" s="6" t="str">
        <f t="shared" ref="G5:G7" si="1">LEFT(D5,LEN(D5)-1)&amp;"1"</f>
        <v>10.12.0.1</v>
      </c>
      <c r="H5" s="6" t="str">
        <f ca="1">IFERROR(__xludf.DUMMYFUNCTION("REGEXREPLACE(D5,""\.[0-9]+\.[0-9]+$"","".255.254"")"),"10.12.255.254")</f>
        <v>10.12.255.254</v>
      </c>
      <c r="I5" s="6">
        <v>10</v>
      </c>
      <c r="J5" s="15">
        <v>21</v>
      </c>
      <c r="K5" s="15">
        <v>5</v>
      </c>
    </row>
    <row r="6" spans="1:11" ht="15.75" customHeight="1" x14ac:dyDescent="0.2">
      <c r="A6" s="6" t="s">
        <v>19</v>
      </c>
      <c r="B6" s="7">
        <v>20</v>
      </c>
      <c r="C6" s="6">
        <v>0</v>
      </c>
      <c r="D6" s="6" t="str">
        <f>10&amp;"."&amp;(B6+A2)&amp;"."&amp;0&amp;"."&amp;0</f>
        <v>10.22.0.0</v>
      </c>
      <c r="E6" s="6" t="str">
        <f t="shared" si="0"/>
        <v>10.22.0.1</v>
      </c>
      <c r="F6" s="6" t="s">
        <v>18</v>
      </c>
      <c r="G6" s="6" t="str">
        <f t="shared" si="1"/>
        <v>10.22.0.1</v>
      </c>
      <c r="H6" s="6" t="str">
        <f ca="1">IFERROR(__xludf.DUMMYFUNCTION("REGEXREPLACE(D6,""\.[0-9]+\.[0-9]+$"","".255.254"")"),"10.22.255.254")</f>
        <v>10.22.255.254</v>
      </c>
      <c r="I6" s="6">
        <v>10</v>
      </c>
      <c r="J6" s="15">
        <v>11</v>
      </c>
      <c r="K6" s="15">
        <v>2</v>
      </c>
    </row>
    <row r="7" spans="1:11" ht="15.75" customHeight="1" x14ac:dyDescent="0.2">
      <c r="A7" s="6" t="s">
        <v>20</v>
      </c>
      <c r="B7" s="7">
        <v>30</v>
      </c>
      <c r="C7" s="6">
        <v>0</v>
      </c>
      <c r="D7" s="6" t="str">
        <f>10&amp;"."&amp;(B7+A2)&amp;"."&amp;0&amp;"."&amp;0</f>
        <v>10.32.0.0</v>
      </c>
      <c r="E7" s="6" t="str">
        <f t="shared" si="0"/>
        <v>10.32.0.1</v>
      </c>
      <c r="F7" s="6" t="s">
        <v>18</v>
      </c>
      <c r="G7" s="6" t="str">
        <f t="shared" si="1"/>
        <v>10.32.0.1</v>
      </c>
      <c r="H7" s="6" t="str">
        <f ca="1">IFERROR(__xludf.DUMMYFUNCTION("REGEXREPLACE(D7,""\.[0-9]+\.[0-9]+$"","".255.254"")"),"10.32.255.254")</f>
        <v>10.32.255.254</v>
      </c>
      <c r="I7" s="6">
        <v>10</v>
      </c>
      <c r="J7">
        <v>41</v>
      </c>
      <c r="K7">
        <v>10</v>
      </c>
    </row>
    <row r="8" spans="1:11" ht="15.75" customHeight="1" x14ac:dyDescent="0.2">
      <c r="A8" s="8"/>
      <c r="B8" s="8"/>
    </row>
    <row r="9" spans="1:11" ht="15.75" customHeight="1" x14ac:dyDescent="0.2">
      <c r="A9" s="5" t="s">
        <v>9</v>
      </c>
      <c r="B9" s="5" t="s">
        <v>21</v>
      </c>
      <c r="C9" s="5" t="s">
        <v>22</v>
      </c>
      <c r="D9" s="5" t="s">
        <v>23</v>
      </c>
    </row>
    <row r="10" spans="1:11" ht="15.75" customHeight="1" x14ac:dyDescent="0.2">
      <c r="A10" s="6" t="s">
        <v>17</v>
      </c>
      <c r="B10" s="7" t="s">
        <v>24</v>
      </c>
      <c r="C10" s="6">
        <v>10</v>
      </c>
      <c r="D10" s="6" t="str">
        <f>A2&amp;"."&amp;A2&amp;"."&amp;A2&amp;"."&amp;(C10)</f>
        <v>2.2.2.10</v>
      </c>
    </row>
    <row r="11" spans="1:11" ht="15.75" customHeight="1" x14ac:dyDescent="0.2">
      <c r="A11" s="6" t="s">
        <v>19</v>
      </c>
      <c r="B11" s="7" t="s">
        <v>25</v>
      </c>
      <c r="C11" s="6">
        <v>20</v>
      </c>
      <c r="D11" s="6" t="str">
        <f>A2&amp;"."&amp;A2&amp;"."&amp;A2&amp;"."&amp;(C11)</f>
        <v>2.2.2.20</v>
      </c>
    </row>
    <row r="12" spans="1:11" ht="15.75" customHeight="1" x14ac:dyDescent="0.2">
      <c r="A12" s="6" t="s">
        <v>20</v>
      </c>
      <c r="B12" s="7" t="s">
        <v>26</v>
      </c>
      <c r="C12" s="6">
        <v>30</v>
      </c>
      <c r="D12" s="6" t="str">
        <f>A2&amp;"."&amp;A2&amp;"."&amp;A2&amp;"."&amp;(C12)</f>
        <v>2.2.2.30</v>
      </c>
    </row>
    <row r="13" spans="1:11" ht="15.75" customHeight="1" x14ac:dyDescent="0.2"/>
    <row r="14" spans="1:11" ht="15.75" customHeight="1" x14ac:dyDescent="0.2">
      <c r="A14" s="5" t="s">
        <v>27</v>
      </c>
      <c r="B14" s="5" t="s">
        <v>9</v>
      </c>
      <c r="C14" s="5" t="s">
        <v>28</v>
      </c>
      <c r="D14" s="5" t="s">
        <v>14</v>
      </c>
      <c r="E14" s="5" t="s">
        <v>29</v>
      </c>
      <c r="F14" s="12" t="s">
        <v>30</v>
      </c>
      <c r="G14" s="12" t="s">
        <v>31</v>
      </c>
      <c r="H14" s="13" t="s">
        <v>32</v>
      </c>
      <c r="I14" s="13" t="s">
        <v>33</v>
      </c>
      <c r="J14" s="13" t="s">
        <v>34</v>
      </c>
    </row>
    <row r="15" spans="1:11" ht="15.75" customHeight="1" x14ac:dyDescent="0.2">
      <c r="A15" s="6" t="s">
        <v>35</v>
      </c>
      <c r="B15" s="6" t="s">
        <v>17</v>
      </c>
      <c r="C15" s="6" t="str">
        <f>172&amp;"."&amp;16&amp;"."&amp;0&amp;"."&amp;(H15+A2)</f>
        <v>172.16.0.12</v>
      </c>
      <c r="D15" s="6" t="s">
        <v>36</v>
      </c>
      <c r="E15" s="6" t="str">
        <f>A2&amp;"."&amp;A2&amp;"."&amp;A2&amp;"."&amp;H15</f>
        <v>2.2.2.10</v>
      </c>
      <c r="F15" s="6"/>
      <c r="G15" s="6" t="s">
        <v>37</v>
      </c>
      <c r="H15" s="2">
        <v>10</v>
      </c>
      <c r="I15" s="2">
        <f t="array" ref="I15">_xlfn.XLOOKUP(1,( 'Site 1 (HUB)'!A:A=A15 )*( 'Site 1 (HUB)'!B:B=B15 ),'Site 1 (HUB)'!I:I)</f>
        <v>0</v>
      </c>
      <c r="J15" s="2"/>
    </row>
    <row r="16" spans="1:11" ht="15.75" customHeight="1" x14ac:dyDescent="0.2">
      <c r="A16" s="6" t="s">
        <v>38</v>
      </c>
      <c r="B16" s="6" t="s">
        <v>20</v>
      </c>
      <c r="C16" s="6" t="str">
        <f>172&amp;"."&amp;16&amp;"."&amp;0&amp;"."&amp;(H16+A2)</f>
        <v>172.16.0.32</v>
      </c>
      <c r="D16" s="6" t="s">
        <v>36</v>
      </c>
      <c r="E16" s="6" t="str">
        <f>A2&amp;"."&amp;A2&amp;"."&amp;A2&amp;"."&amp;H16</f>
        <v>2.2.2.30</v>
      </c>
      <c r="F16" s="6"/>
      <c r="G16" s="6" t="s">
        <v>37</v>
      </c>
      <c r="H16" s="2">
        <v>30</v>
      </c>
      <c r="I16" s="2" t="b">
        <f t="array" ref="I16">_xlfn.XLOOKUP(1,( 'Site 1 (HUB)'!A:A=A16 )*( 'Site 1 (HUB)'!B:B=B16 ),'Site 1 (HUB)'!I:I)</f>
        <v>1</v>
      </c>
      <c r="J16" s="2"/>
    </row>
    <row r="17" spans="1:9" ht="15.75" customHeight="1" x14ac:dyDescent="0.2"/>
    <row r="18" spans="1:9" ht="15.75" customHeight="1" x14ac:dyDescent="0.2">
      <c r="A18" s="10" t="s">
        <v>0</v>
      </c>
      <c r="B18" s="10" t="s">
        <v>3</v>
      </c>
      <c r="C18" s="10" t="s">
        <v>4</v>
      </c>
      <c r="D18" s="10" t="s">
        <v>5</v>
      </c>
    </row>
    <row r="19" spans="1:9" ht="15.75" customHeight="1" x14ac:dyDescent="0.2">
      <c r="A19" s="11">
        <f>A2</f>
        <v>2</v>
      </c>
      <c r="B19" s="11" t="s">
        <v>6</v>
      </c>
      <c r="C19" s="11" t="s">
        <v>7</v>
      </c>
      <c r="D19" s="11" t="s">
        <v>8</v>
      </c>
    </row>
    <row r="20" spans="1:9" ht="15.75" customHeight="1" x14ac:dyDescent="0.2"/>
    <row r="21" spans="1:9" ht="26.25" customHeight="1" x14ac:dyDescent="0.2">
      <c r="A21" s="5" t="s">
        <v>41</v>
      </c>
      <c r="B21" s="5" t="s">
        <v>42</v>
      </c>
      <c r="C21" s="5" t="s">
        <v>43</v>
      </c>
      <c r="D21" s="5" t="s">
        <v>13</v>
      </c>
      <c r="E21" s="5" t="s">
        <v>14</v>
      </c>
      <c r="F21" s="5" t="s">
        <v>44</v>
      </c>
      <c r="G21" s="10" t="s">
        <v>45</v>
      </c>
      <c r="H21" s="10" t="s">
        <v>1</v>
      </c>
      <c r="I21" s="10" t="s">
        <v>47</v>
      </c>
    </row>
    <row r="22" spans="1:9" ht="15.75" customHeight="1" x14ac:dyDescent="0.2">
      <c r="A22" s="6">
        <v>1</v>
      </c>
      <c r="B22" s="6">
        <v>10</v>
      </c>
      <c r="C22" s="6" t="str">
        <f>LEFT($G$5,LEN($G$5)-1)&amp;(RIGHT($G$5,1)+A22)</f>
        <v>10.12.0.2</v>
      </c>
      <c r="D22" s="6" t="str">
        <f>$E$5</f>
        <v>10.12.0.1</v>
      </c>
      <c r="E22" s="6" t="str">
        <f>$F$5</f>
        <v>255.255.0.0</v>
      </c>
      <c r="F22" s="6">
        <v>30.1</v>
      </c>
      <c r="G22" s="11">
        <v>4</v>
      </c>
      <c r="H22" s="11" t="s">
        <v>46</v>
      </c>
      <c r="I22" s="11">
        <f>$G22-3</f>
        <v>1</v>
      </c>
    </row>
    <row r="23" spans="1:9" ht="15.75" customHeight="1" x14ac:dyDescent="0.2"/>
    <row r="24" spans="1:9" ht="15.75" customHeight="1" x14ac:dyDescent="0.2"/>
    <row r="25" spans="1:9" ht="15.75" customHeight="1" x14ac:dyDescent="0.2"/>
    <row r="26" spans="1:9" ht="15.75" customHeight="1" x14ac:dyDescent="0.2"/>
    <row r="27" spans="1:9" ht="15.75" customHeight="1" x14ac:dyDescent="0.2"/>
    <row r="28" spans="1:9" ht="15.75" customHeight="1" x14ac:dyDescent="0.2"/>
    <row r="29" spans="1:9" ht="15.75" customHeight="1" x14ac:dyDescent="0.2"/>
    <row r="30" spans="1:9" ht="15.75" customHeight="1" x14ac:dyDescent="0.2"/>
    <row r="31" spans="1:9" ht="15.75" customHeight="1" x14ac:dyDescent="0.2"/>
    <row r="32" spans="1:9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</sheetData>
  <dataValidations count="1">
    <dataValidation type="custom" allowBlank="1" showInputMessage="1" showErrorMessage="1" sqref="F22" xr:uid="{95DCB370-0280-4896-A3B5-1510F9D5C323}">
      <formula1>IF(F22="",TRUE,SUM(--_xlfn.TEXTAFTER(_xlfn.TEXTSPLIT(F22,"-"),"."))&lt;=$G22-3)</formula1>
    </dataValidation>
  </dataValidations>
  <pageMargins left="0.7" right="0.7" top="0.75" bottom="0.75" header="0" footer="0"/>
  <pageSetup orientation="landscape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Site 1 (HUB)</vt:lpstr>
      <vt:lpstr>Site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2026-09-04T19:41:59Z</dcterms:modified>
</cp:coreProperties>
</file>