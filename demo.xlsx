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FAEB0EB9-ED56-463C-A2D0-3C524DBED300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Site 3" sheetId="3" r:id="rId3"/>
    <sheet name="Site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4" l="1" a="1"/>
  <c r="I16" i="4" s="1"/>
  <c r="E16" i="4"/>
  <c r="C16" i="4"/>
  <c r="I15" i="4" a="1"/>
  <c r="I15" i="4" s="1"/>
  <c r="E15" i="4"/>
  <c r="C15" i="4"/>
  <c r="D12" i="4"/>
  <c r="D11" i="4"/>
  <c r="D10" i="4"/>
  <c r="H7" i="4"/>
  <c r="D7" i="4"/>
  <c r="G7" i="4" s="1"/>
  <c r="H6" i="4"/>
  <c r="G6" i="4"/>
  <c r="D6" i="4"/>
  <c r="E6" i="4" s="1"/>
  <c r="H5" i="4"/>
  <c r="G5" i="4"/>
  <c r="D5" i="4"/>
  <c r="E5" i="4" s="1"/>
  <c r="C2" i="4"/>
  <c r="I16" i="3" a="1"/>
  <c r="I16" i="3" s="1"/>
  <c r="E16" i="3"/>
  <c r="C16" i="3"/>
  <c r="I15" i="3" a="1"/>
  <c r="I15" i="3" s="1"/>
  <c r="E15" i="3"/>
  <c r="C15" i="3"/>
  <c r="D12" i="3"/>
  <c r="D11" i="3"/>
  <c r="D10" i="3"/>
  <c r="H7" i="3"/>
  <c r="G7" i="3"/>
  <c r="D7" i="3"/>
  <c r="E7" i="3" s="1"/>
  <c r="H6" i="3"/>
  <c r="G6" i="3"/>
  <c r="E6" i="3"/>
  <c r="D6" i="3"/>
  <c r="H5" i="3"/>
  <c r="G5" i="3"/>
  <c r="D5" i="3"/>
  <c r="E5" i="3" s="1"/>
  <c r="C2" i="3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G7" i="2"/>
  <c r="D7" i="2"/>
  <c r="E7" i="2" s="1"/>
  <c r="H6" i="2"/>
  <c r="G6" i="2"/>
  <c r="D6" i="2"/>
  <c r="E6" i="2" s="1"/>
  <c r="H5" i="2"/>
  <c r="G5" i="2"/>
  <c r="D5" i="2"/>
  <c r="E5" i="2" s="1"/>
  <c r="C2" i="2"/>
  <c r="E16" i="1"/>
  <c r="C16" i="1"/>
  <c r="E15" i="1"/>
  <c r="C15" i="1"/>
  <c r="D12" i="1"/>
  <c r="D11" i="1"/>
  <c r="D10" i="1"/>
  <c r="H7" i="1"/>
  <c r="G7" i="1"/>
  <c r="D7" i="1"/>
  <c r="E7" i="1" s="1"/>
  <c r="H6" i="1"/>
  <c r="G6" i="1"/>
  <c r="D6" i="1"/>
  <c r="E6" i="1" s="1"/>
  <c r="H5" i="1"/>
  <c r="G5" i="1"/>
  <c r="E5" i="1"/>
  <c r="D5" i="1"/>
  <c r="C2" i="1"/>
  <c r="E7" i="4" l="1"/>
</calcChain>
</file>

<file path=xl/sharedStrings.xml><?xml version="1.0" encoding="utf-8"?>
<sst xmlns="http://schemas.openxmlformats.org/spreadsheetml/2006/main" count="216" uniqueCount="41">
  <si>
    <t>site</t>
  </si>
  <si>
    <t>intf_prefix</t>
  </si>
  <si>
    <t>router-id</t>
  </si>
  <si>
    <t>brukernavn</t>
  </si>
  <si>
    <t>passord</t>
  </si>
  <si>
    <t>vty_lines</t>
  </si>
  <si>
    <t>E0/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</si>
  <si>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</si>
  <si>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</si>
  <si>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</si>
  <si>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</si>
  <si>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</si>
  <si>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</si>
  <si>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</si>
  <si>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</si>
  <si>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</si>
  <si>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</si>
  <si>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</si>
  <si>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</si>
  <si>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</si>
  <si>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</si>
  <si>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</si>
  <si>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</si>
  <si>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</si>
  <si>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</si>
  <si>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</si>
  <si>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</si>
  <si>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</si>
  <si>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</si>
  <si>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</si>
  <si>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</si>
  <si>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</si>
  <si>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</si>
  <si>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</si>
  <si>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</si>
  <si>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</si>
  <si>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</si>
  <si>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</si>
  <si>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-</t>
  </si>
  <si>
    <t>multipoint</t>
  </si>
  <si>
    <t>tunnel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</si>
</sst>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shrinkToFit="1"/>
    </xf>
    <xf numFmtId="0" fontId="0" fillId="0" borderId="0" xfId="0" applyAlignment="1">
      <alignment shrinkToFit="1"/>
    </xf>
    <xf numFmtId="0" fontId="1" fillId="0" borderId="0" xfId="0" applyFont="1" applyAlignment="1">
      <alignment vertical="center" shrinkToFit="1"/>
    </xf>
    <xf numFmtId="0" fontId="2" fillId="0" borderId="0" xfId="0" applyFont="1" applyAlignment="1">
      <alignment horizontal="left" shrinkToFit="1"/>
    </xf>
    <xf numFmtId="0" fontId="3" fillId="0" borderId="0" xfId="0" applyFont="1" applyAlignment="1">
      <alignment shrinkToFit="1"/>
    </xf>
    <xf numFmtId="0" fontId="3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shrinkToFit="1"/>
    </xf>
    <xf numFmtId="0" fontId="5" fillId="0" borderId="0" xfId="0" applyFont="1" applyAlignment="1">
      <alignment vertical="center" shrinkToFit="1"/>
    </xf>
    <xf numFmtId="0" fontId="1" fillId="0" borderId="0" xfId="0" applyFont="1" applyAlignment="1">
      <alignment horizontal="left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144"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6">
    <tableStyle name="Site 1 (HUB)-style" pivot="0" count="4" xr9:uid="{00000000-0011-0000-FFFF-FFFF00000000}">
      <tableStyleElement type="wholeTable" size="0" dxfId="140"/>
      <tableStyleElement type="headerRow" dxfId="143"/>
      <tableStyleElement type="firstRowStripe" dxfId="142"/>
      <tableStyleElement type="secondRowStripe" dxfId="141"/>
    </tableStyle>
    <tableStyle name="Site 3-style" pivot="0" count="4" xr9:uid="{00000000-0011-0000-FFFF-FFFF01000000}">
      <tableStyleElement type="wholeTable" size="0" dxfId="136"/>
      <tableStyleElement type="headerRow" dxfId="139"/>
      <tableStyleElement type="firstRowStripe" dxfId="138"/>
      <tableStyleElement type="secondRowStripe" dxfId="137"/>
    </tableStyle>
    <tableStyle name="Site 2-style" pivot="0" count="4" xr9:uid="{00000000-0011-0000-FFFF-FFFF02000000}">
      <tableStyleElement type="wholeTable" size="0" dxfId="132"/>
      <tableStyleElement type="headerRow" dxfId="135"/>
      <tableStyleElement type="firstRowStripe" dxfId="134"/>
      <tableStyleElement type="secondRowStripe" dxfId="133"/>
    </tableStyle>
    <tableStyle name="Site 4-style" pivot="0" count="4" xr9:uid="{00000000-0011-0000-FFFF-FFFF03000000}">
      <tableStyleElement type="wholeTable" size="0" dxfId="128"/>
      <tableStyleElement type="headerRow" dxfId="131"/>
      <tableStyleElement type="firstRowStripe" dxfId="130"/>
      <tableStyleElement type="secondRowStripe" dxfId="129"/>
    </tableStyle>
    <tableStyle name="Site 3-style 2" pivot="0" count="4" xr9:uid="{00000000-0011-0000-FFFF-FFFF04000000}">
      <tableStyleElement type="wholeTable" size="0" dxfId="124"/>
      <tableStyleElement type="headerRow" dxfId="127"/>
      <tableStyleElement type="firstRowStripe" dxfId="126"/>
      <tableStyleElement type="secondRowStripe" dxfId="125"/>
    </tableStyle>
    <tableStyle name="Site 1 (HUB)-style 2" pivot="0" count="4" xr9:uid="{00000000-0011-0000-FFFF-FFFF05000000}">
      <tableStyleElement type="wholeTable" size="0" dxfId="120"/>
      <tableStyleElement type="headerRow" dxfId="123"/>
      <tableStyleElement type="firstRowStripe" dxfId="122"/>
      <tableStyleElement type="secondRowStripe" dxfId="121"/>
    </tableStyle>
    <tableStyle name="Site 2-style 2" pivot="0" count="4" xr9:uid="{00000000-0011-0000-FFFF-FFFF06000000}">
      <tableStyleElement type="wholeTable" size="0" dxfId="116"/>
      <tableStyleElement type="headerRow" dxfId="119"/>
      <tableStyleElement type="firstRowStripe" dxfId="118"/>
      <tableStyleElement type="secondRowStripe" dxfId="117"/>
    </tableStyle>
    <tableStyle name="Site 3-style 3" pivot="0" count="4" xr9:uid="{00000000-0011-0000-FFFF-FFFF07000000}">
      <tableStyleElement type="wholeTable" size="0" dxfId="112"/>
      <tableStyleElement type="headerRow" dxfId="115"/>
      <tableStyleElement type="firstRowStripe" dxfId="114"/>
      <tableStyleElement type="secondRowStripe" dxfId="113"/>
    </tableStyle>
    <tableStyle name="Site 1 (HUB)-style 3" pivot="0" count="4" xr9:uid="{00000000-0011-0000-FFFF-FFFF08000000}">
      <tableStyleElement type="wholeTable" size="0" dxfId="108"/>
      <tableStyleElement type="headerRow" dxfId="111"/>
      <tableStyleElement type="firstRowStripe" dxfId="110"/>
      <tableStyleElement type="secondRowStripe" dxfId="109"/>
    </tableStyle>
    <tableStyle name="Site 4-style 2" pivot="0" count="4" xr9:uid="{00000000-0011-0000-FFFF-FFFF09000000}">
      <tableStyleElement type="wholeTable" size="0" dxfId="104"/>
      <tableStyleElement type="headerRow" dxfId="107"/>
      <tableStyleElement type="firstRowStripe" dxfId="106"/>
      <tableStyleElement type="secondRowStripe" dxfId="105"/>
    </tableStyle>
    <tableStyle name="Site 3-style 4" pivot="0" count="4" xr9:uid="{00000000-0011-0000-FFFF-FFFF0A000000}">
      <tableStyleElement type="wholeTable" size="0" dxfId="100"/>
      <tableStyleElement type="headerRow" dxfId="103"/>
      <tableStyleElement type="firstRowStripe" dxfId="102"/>
      <tableStyleElement type="secondRowStripe" dxfId="101"/>
    </tableStyle>
    <tableStyle name="Site 1 (HUB)-style 4" pivot="0" count="4" xr9:uid="{00000000-0011-0000-FFFF-FFFF0B000000}">
      <tableStyleElement type="wholeTable" size="0" dxfId="96"/>
      <tableStyleElement type="headerRow" dxfId="99"/>
      <tableStyleElement type="firstRowStripe" dxfId="98"/>
      <tableStyleElement type="secondRowStripe" dxfId="97"/>
    </tableStyle>
    <tableStyle name="Site 2-style 3" pivot="0" count="4" xr9:uid="{00000000-0011-0000-FFFF-FFFF0C000000}">
      <tableStyleElement type="wholeTable" size="0" dxfId="92"/>
      <tableStyleElement type="headerRow" dxfId="95"/>
      <tableStyleElement type="firstRowStripe" dxfId="94"/>
      <tableStyleElement type="secondRowStripe" dxfId="93"/>
    </tableStyle>
    <tableStyle name="Site 4-style 3" pivot="0" count="4" xr9:uid="{00000000-0011-0000-FFFF-FFFF0D000000}">
      <tableStyleElement type="wholeTable" size="0" dxfId="88"/>
      <tableStyleElement type="headerRow" dxfId="91"/>
      <tableStyleElement type="firstRowStripe" dxfId="90"/>
      <tableStyleElement type="secondRowStripe" dxfId="89"/>
    </tableStyle>
    <tableStyle name="Site 2-style 4" pivot="0" count="4" xr9:uid="{00000000-0011-0000-FFFF-FFFF0E000000}">
      <tableStyleElement type="wholeTable" size="0" dxfId="84"/>
      <tableStyleElement type="headerRow" dxfId="87"/>
      <tableStyleElement type="firstRowStripe" dxfId="86"/>
      <tableStyleElement type="secondRowStripe" dxfId="85"/>
    </tableStyle>
    <tableStyle name="Site 4-style 4" pivot="0" count="4" xr9:uid="{00000000-0011-0000-FFFF-FFFF0F000000}">
      <tableStyleElement type="wholeTable" size="0" dxfId="80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H7">
  <tableColumns count="8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H7">
  <tableColumns count="8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</tableColumns>
  <tableStyleInfo name="Site 2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8000000}" name="Tabell9" displayName="Tabell9" ref="A1:F2" headerRowDxfId="33" dataDxfId="31" totalsRowDxfId="32">
  <tableColumns count="6">
    <tableColumn id="1" xr3:uid="{00000000-0010-0000-0800-000001000000}" name="site" dataDxfId="39"/>
    <tableColumn id="2" xr3:uid="{00000000-0010-0000-0800-000002000000}" name="intf_prefix" dataDxfId="38"/>
    <tableColumn id="3" xr3:uid="{00000000-0010-0000-0800-000003000000}" name="router-id" dataDxfId="37"/>
    <tableColumn id="4" xr3:uid="{00000000-0010-0000-0800-000004000000}" name="brukernavn" dataDxfId="36"/>
    <tableColumn id="5" xr3:uid="{00000000-0010-0000-0800-000005000000}" name="passord" dataDxfId="35"/>
    <tableColumn id="6" xr3:uid="{00000000-0010-0000-0800-000006000000}" name="vty_lines" dataDxfId="34"/>
  </tableColumns>
  <tableStyleInfo name="Site 3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abell10" displayName="Tabell10" ref="A4:H7" headerRowDxfId="22" dataDxfId="20" totalsRowDxfId="21">
  <tableColumns count="8">
    <tableColumn id="1" xr3:uid="{00000000-0010-0000-0900-000001000000}" name="vrf" dataDxfId="30"/>
    <tableColumn id="2" xr3:uid="{00000000-0010-0000-0900-000002000000}" name="vlan" dataDxfId="29"/>
    <tableColumn id="3" xr3:uid="{00000000-0010-0000-0900-000003000000}" name="interface" dataDxfId="28"/>
    <tableColumn id="4" xr3:uid="{00000000-0010-0000-0900-000004000000}" name="nett id" dataDxfId="27"/>
    <tableColumn id="5" xr3:uid="{00000000-0010-0000-0900-000005000000}" name="gateway" dataDxfId="26"/>
    <tableColumn id="6" xr3:uid="{00000000-0010-0000-0900-000006000000}" name="mask" dataDxfId="25"/>
    <tableColumn id="7" xr3:uid="{00000000-0010-0000-0900-000007000000}" name="address min" dataDxfId="24"/>
    <tableColumn id="8" xr3:uid="{00000000-0010-0000-0900-000008000000}" name="address max" dataDxfId="23"/>
  </tableColumns>
  <tableStyleInfo name="Site 3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A000000}" name="Tabell11" displayName="Tabell11" ref="A9:D12" headerRowDxfId="15" dataDxfId="13" totalsRowDxfId="14">
  <tableColumns count="4">
    <tableColumn id="1" xr3:uid="{00000000-0010-0000-0A00-000001000000}" name="vrf" dataDxfId="19"/>
    <tableColumn id="2" xr3:uid="{00000000-0010-0000-0A00-000002000000}" name="rt" dataDxfId="18"/>
    <tableColumn id="3" xr3:uid="{00000000-0010-0000-0A00-000003000000}" name="loopback" dataDxfId="17"/>
    <tableColumn id="4" xr3:uid="{00000000-0010-0000-0A00-000004000000}" name="laddr" dataDxfId="16"/>
  </tableColumns>
  <tableStyleInfo name="Site 3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ell12" displayName="Tabell12" ref="A14:J16" headerRowDxfId="2" dataDxfId="0" totalsRowDxfId="1">
  <tableColumns count="10">
    <tableColumn id="1" xr3:uid="{00000000-0010-0000-0B00-000001000000}" name="tunnel id" dataDxfId="12"/>
    <tableColumn id="2" xr3:uid="{00000000-0010-0000-0B00-000002000000}" name="vrf" dataDxfId="11"/>
    <tableColumn id="3" xr3:uid="{00000000-0010-0000-0B00-000003000000}" name="ip address" dataDxfId="10"/>
    <tableColumn id="4" xr3:uid="{00000000-0010-0000-0B00-000004000000}" name="mask" dataDxfId="9"/>
    <tableColumn id="5" xr3:uid="{00000000-0010-0000-0B00-000005000000}" name="source" dataDxfId="8"/>
    <tableColumn id="6" xr3:uid="{00000000-0010-0000-0B00-000006000000}" name="destination" dataDxfId="7"/>
    <tableColumn id="7" xr3:uid="{00000000-0010-0000-0B00-000007000000}" name="gre mode" dataDxfId="6"/>
    <tableColumn id="8" xr3:uid="{00000000-0010-0000-0B00-000008000000}" name="network-id" dataDxfId="5"/>
    <tableColumn id="9" xr3:uid="{00000000-0010-0000-0B00-000009000000}" name="ipsec" dataDxfId="4"/>
    <tableColumn id="10" xr3:uid="{00000000-0010-0000-0B00-00000A000000}" name="ipsec key" dataDxfId="3"/>
  </tableColumns>
  <tableStyleInfo name="Site 3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C000000}" name="Tabell13" displayName="Tabell13" ref="A1:F2" headerRowDxfId="73" dataDxfId="71" totalsRowDxfId="72">
  <tableColumns count="6">
    <tableColumn id="1" xr3:uid="{00000000-0010-0000-0C00-000001000000}" name="site" dataDxfId="79"/>
    <tableColumn id="2" xr3:uid="{00000000-0010-0000-0C00-000002000000}" name="intf_prefix" dataDxfId="78"/>
    <tableColumn id="3" xr3:uid="{00000000-0010-0000-0C00-000003000000}" name="router-id" dataDxfId="77"/>
    <tableColumn id="4" xr3:uid="{00000000-0010-0000-0C00-000004000000}" name="brukernavn" dataDxfId="76"/>
    <tableColumn id="5" xr3:uid="{00000000-0010-0000-0C00-000005000000}" name="passord" dataDxfId="75"/>
    <tableColumn id="6" xr3:uid="{00000000-0010-0000-0C00-000006000000}" name="vty_lines" dataDxfId="74"/>
  </tableColumns>
  <tableStyleInfo name="Site 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D000000}" name="Tabell14" displayName="Tabell14" ref="A4:H7" headerRowDxfId="62" dataDxfId="60" totalsRowDxfId="61">
  <tableColumns count="8">
    <tableColumn id="1" xr3:uid="{00000000-0010-0000-0D00-000001000000}" name="vrf" dataDxfId="70"/>
    <tableColumn id="2" xr3:uid="{00000000-0010-0000-0D00-000002000000}" name="vlan" dataDxfId="69"/>
    <tableColumn id="3" xr3:uid="{00000000-0010-0000-0D00-000003000000}" name="interface" dataDxfId="68"/>
    <tableColumn id="4" xr3:uid="{00000000-0010-0000-0D00-000004000000}" name="nett id" dataDxfId="67"/>
    <tableColumn id="5" xr3:uid="{00000000-0010-0000-0D00-000005000000}" name="gateway" dataDxfId="66"/>
    <tableColumn id="6" xr3:uid="{00000000-0010-0000-0D00-000006000000}" name="mask" dataDxfId="65"/>
    <tableColumn id="7" xr3:uid="{00000000-0010-0000-0D00-000007000000}" name="address min" dataDxfId="64"/>
    <tableColumn id="8" xr3:uid="{00000000-0010-0000-0D00-000008000000}" name="address max" dataDxfId="63"/>
  </tableColumns>
  <tableStyleInfo name="Site 4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E000000}" name="Tabell15" displayName="Tabell15" ref="A9:D12" headerRowDxfId="55" dataDxfId="53" totalsRowDxfId="54">
  <tableColumns count="4">
    <tableColumn id="1" xr3:uid="{00000000-0010-0000-0E00-000001000000}" name="vrf" dataDxfId="59"/>
    <tableColumn id="2" xr3:uid="{00000000-0010-0000-0E00-000002000000}" name="rt" dataDxfId="58"/>
    <tableColumn id="3" xr3:uid="{00000000-0010-0000-0E00-000003000000}" name="loopback" dataDxfId="57"/>
    <tableColumn id="4" xr3:uid="{00000000-0010-0000-0E00-000004000000}" name="laddr" dataDxfId="56"/>
  </tableColumns>
  <tableStyleInfo name="Site 4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l16" displayName="Tabell16" ref="A14:J16" headerRowDxfId="42" dataDxfId="40" totalsRowDxfId="41">
  <tableColumns count="10">
    <tableColumn id="1" xr3:uid="{00000000-0010-0000-0F00-000001000000}" name="tunnel id" dataDxfId="52"/>
    <tableColumn id="2" xr3:uid="{00000000-0010-0000-0F00-000002000000}" name="vrf" dataDxfId="51"/>
    <tableColumn id="3" xr3:uid="{00000000-0010-0000-0F00-000003000000}" name="ip address" dataDxfId="50"/>
    <tableColumn id="4" xr3:uid="{00000000-0010-0000-0F00-000004000000}" name="mask" dataDxfId="49"/>
    <tableColumn id="5" xr3:uid="{00000000-0010-0000-0F00-000005000000}" name="source" dataDxfId="48"/>
    <tableColumn id="6" xr3:uid="{00000000-0010-0000-0F00-000006000000}" name="destination" dataDxfId="47"/>
    <tableColumn id="7" xr3:uid="{00000000-0010-0000-0F00-000007000000}" name="gre mode" dataDxfId="46"/>
    <tableColumn id="8" xr3:uid="{00000000-0010-0000-0F00-000008000000}" name="network-id" dataDxfId="45"/>
    <tableColumn id="9" xr3:uid="{00000000-0010-0000-0F00-000009000000}" name="ipsec" dataDxfId="44"/>
    <tableColumn id="10" xr3:uid="{00000000-0010-0000-0F00-00000A000000}" name="ipsec key" dataDxfId="43"/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tabSelected="1" workbookViewId="0">
      <pane ySplit="1" topLeftCell="A2" activePane="bottomLeft" state="frozen"/>
      <selection pane="bottomLeft" activeCell="F45" sqref="F44:G45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</cols>
  <sheetData>
    <row r="1" spans="1:10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5.75" customHeight="1" x14ac:dyDescent="0.2">
      <c r="A2" s="2">
        <v>1</v>
      </c>
      <c r="B2" s="2" t="s">
        <v>6</v>
      </c>
      <c r="C2" s="2" t="str">
        <f>A2&amp;"."&amp;A2&amp;"."&amp;A2&amp;".0"</f>
        <v>1.1.1.0</v>
      </c>
      <c r="D2" s="2" t="s">
        <v>7</v>
      </c>
      <c r="E2" s="2" t="s">
        <v>8</v>
      </c>
      <c r="F2" s="2" t="s">
        <v>9</v>
      </c>
    </row>
    <row r="3" spans="1:10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0" ht="15.75" customHeight="1" x14ac:dyDescent="0.2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</row>
    <row r="5" spans="1:10" ht="15.75" customHeight="1" x14ac:dyDescent="0.2">
      <c r="A5" s="6" t="s">
        <v>18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19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</row>
    <row r="6" spans="1:10" ht="15.75" customHeight="1" x14ac:dyDescent="0.2">
      <c r="A6" s="6" t="s">
        <v>20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19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</row>
    <row r="7" spans="1:10" ht="15.75" customHeight="1" x14ac:dyDescent="0.2">
      <c r="A7" s="6" t="s">
        <v>21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19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</row>
    <row r="8" spans="1:10" ht="15.75" customHeight="1" x14ac:dyDescent="0.2">
      <c r="A8" s="8"/>
      <c r="B8" s="8"/>
    </row>
    <row r="9" spans="1:10" ht="15.75" customHeight="1" x14ac:dyDescent="0.2">
      <c r="A9" s="5" t="s">
        <v>10</v>
      </c>
      <c r="B9" s="5" t="s">
        <v>22</v>
      </c>
      <c r="C9" s="5" t="s">
        <v>23</v>
      </c>
      <c r="D9" s="5" t="s">
        <v>24</v>
      </c>
    </row>
    <row r="10" spans="1:10" ht="15.75" customHeight="1" x14ac:dyDescent="0.2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1.1.1.10</v>
      </c>
    </row>
    <row r="11" spans="1:10" ht="15.75" customHeight="1" x14ac:dyDescent="0.2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1.1.1.20</v>
      </c>
    </row>
    <row r="12" spans="1:10" ht="15.75" customHeight="1" x14ac:dyDescent="0.2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1.1.1.30</v>
      </c>
    </row>
    <row r="13" spans="1:10" ht="15.75" customHeight="1" x14ac:dyDescent="0.2"/>
    <row r="14" spans="1:10" ht="15.75" customHeight="1" x14ac:dyDescent="0.2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" t="s">
        <v>33</v>
      </c>
      <c r="I14" s="1" t="s">
        <v>34</v>
      </c>
      <c r="J14" s="1" t="s">
        <v>35</v>
      </c>
    </row>
    <row r="15" spans="1:10" ht="15.75" customHeight="1" x14ac:dyDescent="0.2">
      <c r="A15" s="6" t="s">
        <v>36</v>
      </c>
      <c r="B15" s="6" t="s">
        <v>18</v>
      </c>
      <c r="C15" s="6" t="str">
        <f>172&amp;"."&amp;16&amp;"."&amp;0&amp;"."&amp;(H15+A2)</f>
        <v>172.16.0.11</v>
      </c>
      <c r="D15" s="6" t="s">
        <v>37</v>
      </c>
      <c r="E15" s="6" t="str">
        <f>A2&amp;"."&amp;A2&amp;"."&amp;A2&amp;"."&amp;H15</f>
        <v>1.1.1.10</v>
      </c>
      <c r="F15" s="6" t="s">
        <v>38</v>
      </c>
      <c r="G15" s="6" t="s">
        <v>39</v>
      </c>
      <c r="H15" s="2">
        <v>10</v>
      </c>
      <c r="I15" s="2" t="b">
        <v>1</v>
      </c>
      <c r="J15" s="2"/>
    </row>
    <row r="16" spans="1:10" ht="15.75" customHeight="1" x14ac:dyDescent="0.2">
      <c r="A16" s="6" t="s">
        <v>40</v>
      </c>
      <c r="B16" s="6" t="s">
        <v>21</v>
      </c>
      <c r="C16" s="6" t="str">
        <f>172&amp;"."&amp;16&amp;"."&amp;0&amp;"."&amp;(H16+A2)</f>
        <v>172.16.0.31</v>
      </c>
      <c r="D16" s="6" t="s">
        <v>37</v>
      </c>
      <c r="E16" s="6" t="str">
        <f>A2&amp;"."&amp;A2&amp;"."&amp;A2&amp;"."&amp;H16</f>
        <v>1.1.1.30</v>
      </c>
      <c r="F16" s="6" t="s">
        <v>38</v>
      </c>
      <c r="G16" s="6" t="s">
        <v>39</v>
      </c>
      <c r="H16" s="2">
        <v>30</v>
      </c>
      <c r="I16" s="2" t="b">
        <v>1</v>
      </c>
      <c r="J16" s="2"/>
    </row>
    <row r="17" spans="1:7" ht="15.75" customHeight="1" x14ac:dyDescent="0.2">
      <c r="A17" s="9"/>
      <c r="B17" s="9"/>
      <c r="C17" s="9"/>
      <c r="D17" s="9"/>
      <c r="E17" s="9"/>
      <c r="F17" s="9"/>
      <c r="G17" s="9"/>
    </row>
    <row r="18" spans="1:7" ht="15.75" customHeight="1" x14ac:dyDescent="0.2"/>
    <row r="19" spans="1:7" ht="15.75" customHeight="1" x14ac:dyDescent="0.2"/>
    <row r="20" spans="1:7" ht="15.75" customHeight="1" x14ac:dyDescent="0.2"/>
    <row r="21" spans="1:7" ht="15.75" customHeight="1" x14ac:dyDescent="0.2"/>
    <row r="22" spans="1:7" ht="15.75" customHeight="1" x14ac:dyDescent="0.2"/>
    <row r="23" spans="1:7" ht="15.75" customHeight="1" x14ac:dyDescent="0.2"/>
    <row r="24" spans="1:7" ht="15.75" customHeight="1" x14ac:dyDescent="0.2"/>
    <row r="25" spans="1:7" ht="15.75" customHeight="1" x14ac:dyDescent="0.2"/>
    <row r="26" spans="1:7" ht="15.75" customHeight="1" x14ac:dyDescent="0.2"/>
    <row r="27" spans="1:7" ht="15.75" customHeight="1" x14ac:dyDescent="0.2"/>
    <row r="28" spans="1:7" ht="15.75" customHeight="1" x14ac:dyDescent="0.2"/>
    <row r="29" spans="1:7" ht="15.75" customHeight="1" x14ac:dyDescent="0.2"/>
    <row r="30" spans="1:7" ht="15.75" customHeight="1" x14ac:dyDescent="0.2"/>
    <row r="31" spans="1:7" ht="15.75" customHeight="1" x14ac:dyDescent="0.2"/>
    <row r="32" spans="1: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</cols>
  <sheetData>
    <row r="1" spans="1:10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5.75" customHeight="1" x14ac:dyDescent="0.2">
      <c r="A2" s="2">
        <v>2</v>
      </c>
      <c r="B2" s="2" t="s">
        <v>6</v>
      </c>
      <c r="C2" s="2" t="str">
        <f>A2&amp;"."&amp;A2&amp;"."&amp;A2&amp;".0"</f>
        <v>2.2.2.0</v>
      </c>
      <c r="D2" s="2" t="s">
        <v>7</v>
      </c>
      <c r="E2" s="2" t="s">
        <v>8</v>
      </c>
      <c r="F2" s="2" t="s">
        <v>9</v>
      </c>
    </row>
    <row r="3" spans="1:10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0" ht="15.75" customHeight="1" x14ac:dyDescent="0.2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</row>
    <row r="5" spans="1:10" ht="15.75" customHeight="1" x14ac:dyDescent="0.2">
      <c r="A5" s="6" t="s">
        <v>18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19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</row>
    <row r="6" spans="1:10" ht="15.75" customHeight="1" x14ac:dyDescent="0.2">
      <c r="A6" s="6" t="s">
        <v>20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19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</row>
    <row r="7" spans="1:10" ht="15.75" customHeight="1" x14ac:dyDescent="0.2">
      <c r="A7" s="6" t="s">
        <v>21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19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</row>
    <row r="8" spans="1:10" ht="15.75" customHeight="1" x14ac:dyDescent="0.2">
      <c r="A8" s="8"/>
      <c r="B8" s="8"/>
    </row>
    <row r="9" spans="1:10" ht="15.75" customHeight="1" x14ac:dyDescent="0.2">
      <c r="A9" s="5" t="s">
        <v>10</v>
      </c>
      <c r="B9" s="5" t="s">
        <v>22</v>
      </c>
      <c r="C9" s="5" t="s">
        <v>23</v>
      </c>
      <c r="D9" s="5" t="s">
        <v>24</v>
      </c>
    </row>
    <row r="10" spans="1:10" ht="15.75" customHeight="1" x14ac:dyDescent="0.2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2.2.2.10</v>
      </c>
    </row>
    <row r="11" spans="1:10" ht="15.75" customHeight="1" x14ac:dyDescent="0.2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2.2.2.20</v>
      </c>
    </row>
    <row r="12" spans="1:10" ht="15.75" customHeight="1" x14ac:dyDescent="0.2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2.2.2.30</v>
      </c>
    </row>
    <row r="13" spans="1:10" ht="15.75" customHeight="1" x14ac:dyDescent="0.2"/>
    <row r="14" spans="1:10" ht="15.75" customHeight="1" x14ac:dyDescent="0.2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" t="s">
        <v>33</v>
      </c>
      <c r="I14" s="1" t="s">
        <v>34</v>
      </c>
      <c r="J14" s="1" t="s">
        <v>35</v>
      </c>
    </row>
    <row r="15" spans="1:10" ht="15.75" customHeight="1" x14ac:dyDescent="0.2">
      <c r="A15" s="6" t="s">
        <v>36</v>
      </c>
      <c r="B15" s="6" t="s">
        <v>18</v>
      </c>
      <c r="C15" s="6" t="str">
        <f>172&amp;"."&amp;16&amp;"."&amp;0&amp;"."&amp;(H15+A2)</f>
        <v>172.16.0.12</v>
      </c>
      <c r="D15" s="6" t="s">
        <v>37</v>
      </c>
      <c r="E15" s="6" t="str">
        <f>A2&amp;"."&amp;A2&amp;"."&amp;A2&amp;"."&amp;H15</f>
        <v>2.2.2.10</v>
      </c>
      <c r="F15" s="6" t="s">
        <v>38</v>
      </c>
      <c r="G15" s="6" t="s">
        <v>39</v>
      </c>
      <c r="H15" s="2">
        <v>10</v>
      </c>
      <c r="I15" s="2" t="b">
        <f t="array" ref="I15">_xlfn.XLOOKUP(1,( 'Site 1 (HUB)'!A:A=A15 )*( 'Site 1 (HUB)'!B:B=B15 ),'Site 1 (HUB)'!I:I)</f>
        <v>1</v>
      </c>
      <c r="J15" s="2"/>
    </row>
    <row r="16" spans="1:10" ht="15.75" customHeight="1" x14ac:dyDescent="0.2">
      <c r="A16" s="6" t="s">
        <v>40</v>
      </c>
      <c r="B16" s="6" t="s">
        <v>21</v>
      </c>
      <c r="C16" s="6" t="str">
        <f>172&amp;"."&amp;16&amp;"."&amp;0&amp;"."&amp;(H16+A2)</f>
        <v>172.16.0.32</v>
      </c>
      <c r="D16" s="6" t="s">
        <v>37</v>
      </c>
      <c r="E16" s="6" t="str">
        <f>A2&amp;"."&amp;A2&amp;"."&amp;A2&amp;"."&amp;H16</f>
        <v>2.2.2.30</v>
      </c>
      <c r="F16" s="6" t="s">
        <v>38</v>
      </c>
      <c r="G16" s="6" t="s">
        <v>39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workbookViewId="0">
      <selection activeCell="K31" sqref="K31"/>
    </sheetView>
  </sheetViews>
  <sheetFormatPr defaultColWidth="12.5703125" defaultRowHeight="15" customHeight="1" x14ac:dyDescent="0.2"/>
  <cols>
    <col min="1" max="6" width="12.5703125" customWidth="1"/>
  </cols>
  <sheetData>
    <row r="1" spans="1:11" ht="15.75" customHeight="1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/>
      <c r="H1" s="11"/>
      <c r="I1" s="11"/>
      <c r="J1" s="11"/>
      <c r="K1" s="11"/>
    </row>
    <row r="2" spans="1:11" ht="15.75" customHeight="1" x14ac:dyDescent="0.2">
      <c r="A2" s="12">
        <v>3</v>
      </c>
      <c r="B2" s="12" t="s">
        <v>6</v>
      </c>
      <c r="C2" s="12" t="str">
        <f>A2&amp;"."&amp;A2&amp;"."&amp;A2&amp;".0"</f>
        <v>3.3.3.0</v>
      </c>
      <c r="D2" s="12" t="s">
        <v>7</v>
      </c>
      <c r="E2" s="12" t="s">
        <v>8</v>
      </c>
      <c r="F2" s="12" t="s">
        <v>9</v>
      </c>
      <c r="G2" s="11"/>
      <c r="H2" s="11"/>
      <c r="I2" s="11"/>
      <c r="J2" s="11"/>
      <c r="K2" s="11"/>
    </row>
    <row r="3" spans="1:11" ht="15.75" customHeight="1" x14ac:dyDescent="0.25">
      <c r="A3" s="13"/>
      <c r="B3" s="14"/>
      <c r="C3" s="13"/>
      <c r="D3" s="13"/>
      <c r="E3" s="13"/>
      <c r="F3" s="13"/>
      <c r="G3" s="13"/>
      <c r="H3" s="13"/>
      <c r="I3" s="11"/>
      <c r="J3" s="11"/>
      <c r="K3" s="11"/>
    </row>
    <row r="4" spans="1:11" ht="15.75" customHeight="1" x14ac:dyDescent="0.2">
      <c r="A4" s="15" t="s">
        <v>10</v>
      </c>
      <c r="B4" s="15" t="s">
        <v>11</v>
      </c>
      <c r="C4" s="15" t="s">
        <v>12</v>
      </c>
      <c r="D4" s="15" t="s">
        <v>13</v>
      </c>
      <c r="E4" s="15" t="s">
        <v>14</v>
      </c>
      <c r="F4" s="15" t="s">
        <v>15</v>
      </c>
      <c r="G4" s="15" t="s">
        <v>16</v>
      </c>
      <c r="H4" s="15" t="s">
        <v>17</v>
      </c>
      <c r="I4" s="11"/>
      <c r="J4" s="11"/>
      <c r="K4" s="11"/>
    </row>
    <row r="5" spans="1:11" ht="15.75" customHeight="1" x14ac:dyDescent="0.2">
      <c r="A5" s="16" t="s">
        <v>18</v>
      </c>
      <c r="B5" s="17">
        <v>10</v>
      </c>
      <c r="C5" s="16">
        <v>0</v>
      </c>
      <c r="D5" s="16" t="str">
        <f>10&amp;"."&amp;(B5+A2)&amp;"."&amp;0&amp;"."&amp;0</f>
        <v>10.13.0.0</v>
      </c>
      <c r="E5" s="16" t="str">
        <f t="shared" ref="E5:E7" si="0">LEFT(D5,LEN(D5)-1)&amp;"1"</f>
        <v>10.13.0.1</v>
      </c>
      <c r="F5" s="16" t="s">
        <v>19</v>
      </c>
      <c r="G5" s="16" t="str">
        <f t="shared" ref="G5:G7" si="1">LEFT(D5,LEN(D5)-1)&amp;"1"</f>
        <v>10.13.0.1</v>
      </c>
      <c r="H5" s="16" t="str">
        <f ca="1">IFERROR(__xludf.DUMMYFUNCTION("REGEXREPLACE(D5,""\.[0-9]+\.[0-9]+$"","".255.254"")"),"10.13.255.254")</f>
        <v>10.13.255.254</v>
      </c>
      <c r="I5" s="11"/>
      <c r="J5" s="11"/>
      <c r="K5" s="11"/>
    </row>
    <row r="6" spans="1:11" ht="15.75" customHeight="1" x14ac:dyDescent="0.2">
      <c r="A6" s="16" t="s">
        <v>20</v>
      </c>
      <c r="B6" s="17">
        <v>20</v>
      </c>
      <c r="C6" s="16">
        <v>0</v>
      </c>
      <c r="D6" s="16" t="str">
        <f>10&amp;"."&amp;(B6+A2)&amp;"."&amp;0&amp;"."&amp;0</f>
        <v>10.23.0.0</v>
      </c>
      <c r="E6" s="16" t="str">
        <f t="shared" si="0"/>
        <v>10.23.0.1</v>
      </c>
      <c r="F6" s="16" t="s">
        <v>19</v>
      </c>
      <c r="G6" s="16" t="str">
        <f t="shared" si="1"/>
        <v>10.23.0.1</v>
      </c>
      <c r="H6" s="16" t="str">
        <f ca="1">IFERROR(__xludf.DUMMYFUNCTION("REGEXREPLACE(D6,""\.[0-9]+\.[0-9]+$"","".255.254"")"),"10.23.255.254")</f>
        <v>10.23.255.254</v>
      </c>
      <c r="I6" s="11"/>
      <c r="J6" s="11"/>
      <c r="K6" s="11"/>
    </row>
    <row r="7" spans="1:11" ht="15.75" customHeight="1" x14ac:dyDescent="0.2">
      <c r="A7" s="16" t="s">
        <v>21</v>
      </c>
      <c r="B7" s="17">
        <v>30</v>
      </c>
      <c r="C7" s="16">
        <v>0</v>
      </c>
      <c r="D7" s="16" t="str">
        <f>10&amp;"."&amp;(B7+A2)&amp;"."&amp;0&amp;"."&amp;0</f>
        <v>10.33.0.0</v>
      </c>
      <c r="E7" s="16" t="str">
        <f t="shared" si="0"/>
        <v>10.33.0.1</v>
      </c>
      <c r="F7" s="16" t="s">
        <v>19</v>
      </c>
      <c r="G7" s="16" t="str">
        <f t="shared" si="1"/>
        <v>10.33.0.1</v>
      </c>
      <c r="H7" s="16" t="str">
        <f ca="1">IFERROR(__xludf.DUMMYFUNCTION("REGEXREPLACE(D7,""\.[0-9]+\.[0-9]+$"","".255.254"")"),"10.33.255.254")</f>
        <v>10.33.255.254</v>
      </c>
      <c r="I7" s="11"/>
      <c r="J7" s="11"/>
      <c r="K7" s="11"/>
    </row>
    <row r="8" spans="1:11" ht="15.75" customHeight="1" x14ac:dyDescent="0.2">
      <c r="A8" s="18"/>
      <c r="B8" s="18"/>
      <c r="C8" s="11"/>
      <c r="D8" s="11"/>
      <c r="E8" s="11"/>
      <c r="F8" s="11"/>
      <c r="G8" s="11"/>
      <c r="H8" s="11"/>
      <c r="I8" s="11"/>
      <c r="J8" s="11"/>
      <c r="K8" s="11"/>
    </row>
    <row r="9" spans="1:11" ht="15.75" customHeight="1" x14ac:dyDescent="0.2">
      <c r="A9" s="15" t="s">
        <v>10</v>
      </c>
      <c r="B9" s="15" t="s">
        <v>22</v>
      </c>
      <c r="C9" s="15" t="s">
        <v>23</v>
      </c>
      <c r="D9" s="15" t="s">
        <v>24</v>
      </c>
      <c r="E9" s="11"/>
      <c r="F9" s="11"/>
      <c r="G9" s="11"/>
      <c r="H9" s="11"/>
      <c r="I9" s="11"/>
      <c r="J9" s="11"/>
      <c r="K9" s="11"/>
    </row>
    <row r="10" spans="1:11" ht="15.75" customHeight="1" x14ac:dyDescent="0.2">
      <c r="A10" s="16" t="s">
        <v>18</v>
      </c>
      <c r="B10" s="17" t="s">
        <v>25</v>
      </c>
      <c r="C10" s="16">
        <v>10</v>
      </c>
      <c r="D10" s="16" t="str">
        <f>A2&amp;"."&amp;A2&amp;"."&amp;A2&amp;"."&amp;(C10)</f>
        <v>3.3.3.10</v>
      </c>
      <c r="E10" s="11"/>
      <c r="F10" s="11"/>
      <c r="G10" s="11"/>
      <c r="H10" s="11"/>
      <c r="I10" s="11"/>
      <c r="J10" s="11"/>
      <c r="K10" s="11"/>
    </row>
    <row r="11" spans="1:11" ht="15.75" customHeight="1" x14ac:dyDescent="0.2">
      <c r="A11" s="16" t="s">
        <v>20</v>
      </c>
      <c r="B11" s="17" t="s">
        <v>26</v>
      </c>
      <c r="C11" s="16">
        <v>20</v>
      </c>
      <c r="D11" s="16" t="str">
        <f>A2&amp;"."&amp;A2&amp;"."&amp;A2&amp;"."&amp;(C11)</f>
        <v>3.3.3.20</v>
      </c>
      <c r="E11" s="11"/>
      <c r="F11" s="11"/>
      <c r="G11" s="11"/>
      <c r="H11" s="11"/>
      <c r="I11" s="11"/>
      <c r="J11" s="11"/>
      <c r="K11" s="11"/>
    </row>
    <row r="12" spans="1:11" ht="15.75" customHeight="1" x14ac:dyDescent="0.2">
      <c r="A12" s="16" t="s">
        <v>21</v>
      </c>
      <c r="B12" s="17" t="s">
        <v>27</v>
      </c>
      <c r="C12" s="16">
        <v>30</v>
      </c>
      <c r="D12" s="16" t="str">
        <f>A2&amp;"."&amp;A2&amp;"."&amp;A2&amp;"."&amp;(C12)</f>
        <v>3.3.3.30</v>
      </c>
      <c r="E12" s="11"/>
      <c r="F12" s="11"/>
      <c r="G12" s="11"/>
      <c r="H12" s="11"/>
      <c r="I12" s="11"/>
      <c r="J12" s="11"/>
      <c r="K12" s="11"/>
    </row>
    <row r="13" spans="1:11" ht="15.75" customHeight="1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spans="1:11" ht="15.75" customHeight="1" x14ac:dyDescent="0.2">
      <c r="A14" s="15" t="s">
        <v>28</v>
      </c>
      <c r="B14" s="15" t="s">
        <v>10</v>
      </c>
      <c r="C14" s="15" t="s">
        <v>29</v>
      </c>
      <c r="D14" s="15" t="s">
        <v>15</v>
      </c>
      <c r="E14" s="15" t="s">
        <v>30</v>
      </c>
      <c r="F14" s="15" t="s">
        <v>31</v>
      </c>
      <c r="G14" s="15" t="s">
        <v>32</v>
      </c>
      <c r="H14" s="10" t="s">
        <v>33</v>
      </c>
      <c r="I14" s="10" t="s">
        <v>34</v>
      </c>
      <c r="J14" s="10" t="s">
        <v>35</v>
      </c>
      <c r="K14" s="11"/>
    </row>
    <row r="15" spans="1:11" ht="15.75" customHeight="1" x14ac:dyDescent="0.2">
      <c r="A15" s="16" t="s">
        <v>36</v>
      </c>
      <c r="B15" s="16" t="s">
        <v>18</v>
      </c>
      <c r="C15" s="16" t="str">
        <f>172&amp;"."&amp;16&amp;"."&amp;0&amp;"."&amp;(H15+A2)</f>
        <v>172.16.0.13</v>
      </c>
      <c r="D15" s="16" t="s">
        <v>37</v>
      </c>
      <c r="E15" s="16" t="str">
        <f>A2&amp;"."&amp;A2&amp;"."&amp;A2&amp;"."&amp;H15</f>
        <v>3.3.3.10</v>
      </c>
      <c r="F15" s="16" t="s">
        <v>38</v>
      </c>
      <c r="G15" s="16" t="s">
        <v>39</v>
      </c>
      <c r="H15" s="12">
        <v>10</v>
      </c>
      <c r="I15" s="12" t="b">
        <f t="array" ref="I15">_xlfn.XLOOKUP(1,( 'Site 1 (HUB)'!A:A=A15 )*( 'Site 1 (HUB)'!B:B=B15 ),'Site 1 (HUB)'!I:I)</f>
        <v>1</v>
      </c>
      <c r="J15" s="12"/>
      <c r="K15" s="11"/>
    </row>
    <row r="16" spans="1:11" ht="15.75" customHeight="1" x14ac:dyDescent="0.2">
      <c r="A16" s="16" t="s">
        <v>40</v>
      </c>
      <c r="B16" s="16" t="s">
        <v>21</v>
      </c>
      <c r="C16" s="16" t="str">
        <f>172&amp;"."&amp;16&amp;"."&amp;0&amp;"."&amp;(H16+A2)</f>
        <v>172.16.0.33</v>
      </c>
      <c r="D16" s="16" t="s">
        <v>37</v>
      </c>
      <c r="E16" s="16" t="str">
        <f>A2&amp;"."&amp;A2&amp;"."&amp;A2&amp;"."&amp;H16</f>
        <v>3.3.3.30</v>
      </c>
      <c r="F16" s="16" t="s">
        <v>38</v>
      </c>
      <c r="G16" s="16" t="s">
        <v>39</v>
      </c>
      <c r="H16" s="12">
        <v>30</v>
      </c>
      <c r="I16" s="12" t="b">
        <f t="array" ref="I16">_xlfn.XLOOKUP(1,( 'Site 1 (HUB)'!A:A=A16 )*( 'Site 1 (HUB)'!B:B=B16 ),'Site 1 (HUB)'!I:I)</f>
        <v>1</v>
      </c>
      <c r="J16" s="12"/>
      <c r="K16" s="11"/>
    </row>
    <row r="17" spans="1:11" ht="15.75" customHeight="1" x14ac:dyDescent="0.2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spans="1:11" ht="15.75" customHeight="1" x14ac:dyDescent="0.2"/>
    <row r="19" spans="1:11" ht="15.75" customHeight="1" x14ac:dyDescent="0.2"/>
    <row r="20" spans="1:11" ht="15.75" customHeight="1" x14ac:dyDescent="0.2"/>
    <row r="21" spans="1:11" ht="15.75" customHeight="1" x14ac:dyDescent="0.2"/>
    <row r="22" spans="1:11" ht="15.75" customHeight="1" x14ac:dyDescent="0.2"/>
    <row r="23" spans="1:11" ht="15.75" customHeight="1" x14ac:dyDescent="0.2"/>
    <row r="24" spans="1:11" ht="15.75" customHeight="1" x14ac:dyDescent="0.2"/>
    <row r="25" spans="1:11" ht="15.75" customHeight="1" x14ac:dyDescent="0.2"/>
    <row r="26" spans="1:11" ht="15.75" customHeight="1" x14ac:dyDescent="0.2"/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K22" sqref="K22"/>
    </sheetView>
  </sheetViews>
  <sheetFormatPr defaultColWidth="12.5703125" defaultRowHeight="15" customHeight="1" x14ac:dyDescent="0.2"/>
  <cols>
    <col min="1" max="3" width="8.5703125" customWidth="1"/>
    <col min="4" max="4" width="25" customWidth="1"/>
    <col min="5" max="5" width="15.140625" customWidth="1"/>
    <col min="6" max="6" width="21.7109375" customWidth="1"/>
    <col min="7" max="7" width="17.5703125" customWidth="1"/>
    <col min="8" max="8" width="14.5703125" customWidth="1"/>
    <col min="9" max="9" width="13.42578125" customWidth="1"/>
    <col min="10" max="10" width="14.5703125" customWidth="1"/>
    <col min="11" max="26" width="8.5703125" customWidth="1"/>
  </cols>
  <sheetData>
    <row r="1" spans="1:10" ht="12.7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0"/>
      <c r="H1" s="20"/>
      <c r="I1" s="20"/>
      <c r="J1" s="20"/>
    </row>
    <row r="2" spans="1:10" ht="12.75" customHeight="1" x14ac:dyDescent="0.2">
      <c r="A2" s="21">
        <v>4</v>
      </c>
      <c r="B2" s="21" t="s">
        <v>6</v>
      </c>
      <c r="C2" s="21" t="str">
        <f>A2&amp;"."&amp;A2&amp;"."&amp;A2&amp;".0"</f>
        <v>4.4.4.0</v>
      </c>
      <c r="D2" s="21" t="s">
        <v>7</v>
      </c>
      <c r="E2" s="21" t="s">
        <v>8</v>
      </c>
      <c r="F2" s="21" t="s">
        <v>9</v>
      </c>
      <c r="G2" s="20"/>
      <c r="H2" s="20"/>
      <c r="I2" s="20"/>
      <c r="J2" s="20"/>
    </row>
    <row r="3" spans="1:10" ht="12.75" customHeight="1" x14ac:dyDescent="0.25">
      <c r="A3" s="3"/>
      <c r="B3" s="4"/>
      <c r="C3" s="3"/>
      <c r="D3" s="3"/>
      <c r="E3" s="3"/>
      <c r="F3" s="3"/>
      <c r="G3" s="3"/>
      <c r="H3" s="3"/>
      <c r="I3" s="20"/>
      <c r="J3" s="20"/>
    </row>
    <row r="4" spans="1:10" ht="12.75" customHeight="1" x14ac:dyDescent="0.2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20"/>
      <c r="J4" s="20"/>
    </row>
    <row r="5" spans="1:10" ht="12.75" customHeight="1" x14ac:dyDescent="0.2">
      <c r="A5" s="6" t="s">
        <v>18</v>
      </c>
      <c r="B5" s="7">
        <v>10</v>
      </c>
      <c r="C5" s="6">
        <v>0</v>
      </c>
      <c r="D5" s="6" t="str">
        <f>10&amp;"."&amp;(B5+A2)&amp;"."&amp;0&amp;"."&amp;0</f>
        <v>10.14.0.0</v>
      </c>
      <c r="E5" s="6" t="str">
        <f t="shared" ref="E5:E7" si="0">LEFT(D5,LEN(D5)-1)&amp;"1"</f>
        <v>10.14.0.1</v>
      </c>
      <c r="F5" s="6" t="s">
        <v>19</v>
      </c>
      <c r="G5" s="6" t="str">
        <f t="shared" ref="G5:G7" si="1">LEFT(D5,LEN(D5)-1)&amp;"1"</f>
        <v>10.14.0.1</v>
      </c>
      <c r="H5" s="6" t="str">
        <f ca="1">IFERROR(__xludf.DUMMYFUNCTION("REGEXREPLACE(D5,""\.[0-9]+\.[0-9]+$"","".255.254"")"),"10.14.255.254")</f>
        <v>10.14.255.254</v>
      </c>
      <c r="I5" s="20"/>
      <c r="J5" s="20"/>
    </row>
    <row r="6" spans="1:10" ht="12.75" customHeight="1" x14ac:dyDescent="0.2">
      <c r="A6" s="6" t="s">
        <v>20</v>
      </c>
      <c r="B6" s="7">
        <v>20</v>
      </c>
      <c r="C6" s="6">
        <v>0</v>
      </c>
      <c r="D6" s="6" t="str">
        <f>10&amp;"."&amp;(B6+A2)&amp;"."&amp;0&amp;"."&amp;0</f>
        <v>10.24.0.0</v>
      </c>
      <c r="E6" s="6" t="str">
        <f t="shared" si="0"/>
        <v>10.24.0.1</v>
      </c>
      <c r="F6" s="6" t="s">
        <v>19</v>
      </c>
      <c r="G6" s="6" t="str">
        <f t="shared" si="1"/>
        <v>10.24.0.1</v>
      </c>
      <c r="H6" s="6" t="str">
        <f ca="1">IFERROR(__xludf.DUMMYFUNCTION("REGEXREPLACE(D6,""\.[0-9]+\.[0-9]+$"","".255.254"")"),"10.24.255.254")</f>
        <v>10.24.255.254</v>
      </c>
      <c r="I6" s="20"/>
      <c r="J6" s="20"/>
    </row>
    <row r="7" spans="1:10" ht="12.75" customHeight="1" x14ac:dyDescent="0.2">
      <c r="A7" s="6" t="s">
        <v>21</v>
      </c>
      <c r="B7" s="7">
        <v>30</v>
      </c>
      <c r="C7" s="6">
        <v>0</v>
      </c>
      <c r="D7" s="6" t="str">
        <f>10&amp;"."&amp;(B7+A2)&amp;"."&amp;0&amp;"."&amp;0</f>
        <v>10.34.0.0</v>
      </c>
      <c r="E7" s="6" t="str">
        <f t="shared" si="0"/>
        <v>10.34.0.1</v>
      </c>
      <c r="F7" s="6" t="s">
        <v>19</v>
      </c>
      <c r="G7" s="6" t="str">
        <f t="shared" si="1"/>
        <v>10.34.0.1</v>
      </c>
      <c r="H7" s="6" t="str">
        <f ca="1">IFERROR(__xludf.DUMMYFUNCTION("REGEXREPLACE(D7,""\.[0-9]+\.[0-9]+$"","".255.254"")"),"10.34.255.254")</f>
        <v>10.34.255.254</v>
      </c>
      <c r="I7" s="20"/>
      <c r="J7" s="20"/>
    </row>
    <row r="8" spans="1:10" ht="12.75" customHeight="1" x14ac:dyDescent="0.2">
      <c r="A8" s="22"/>
      <c r="B8" s="22"/>
      <c r="C8" s="20"/>
      <c r="D8" s="20"/>
      <c r="E8" s="20"/>
      <c r="F8" s="20"/>
      <c r="G8" s="20"/>
      <c r="H8" s="20"/>
      <c r="I8" s="20"/>
      <c r="J8" s="20"/>
    </row>
    <row r="9" spans="1:10" ht="12.75" customHeight="1" x14ac:dyDescent="0.2">
      <c r="A9" s="5" t="s">
        <v>10</v>
      </c>
      <c r="B9" s="5" t="s">
        <v>22</v>
      </c>
      <c r="C9" s="5" t="s">
        <v>23</v>
      </c>
      <c r="D9" s="5" t="s">
        <v>24</v>
      </c>
      <c r="E9" s="20"/>
      <c r="F9" s="20"/>
      <c r="G9" s="20"/>
      <c r="H9" s="20"/>
      <c r="I9" s="20"/>
      <c r="J9" s="20"/>
    </row>
    <row r="10" spans="1:10" ht="12.75" customHeight="1" x14ac:dyDescent="0.2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4.4.4.10</v>
      </c>
      <c r="E10" s="20"/>
      <c r="F10" s="20"/>
      <c r="G10" s="20"/>
      <c r="H10" s="20"/>
      <c r="I10" s="20"/>
      <c r="J10" s="20"/>
    </row>
    <row r="11" spans="1:10" ht="12.75" customHeight="1" x14ac:dyDescent="0.2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4.4.4.20</v>
      </c>
      <c r="E11" s="20"/>
      <c r="F11" s="20"/>
      <c r="G11" s="20"/>
      <c r="H11" s="20"/>
      <c r="I11" s="20"/>
      <c r="J11" s="20"/>
    </row>
    <row r="12" spans="1:10" ht="12.75" customHeight="1" x14ac:dyDescent="0.2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4.4.4.30</v>
      </c>
      <c r="E12" s="20"/>
      <c r="F12" s="20"/>
      <c r="G12" s="20"/>
      <c r="H12" s="20"/>
      <c r="I12" s="20"/>
      <c r="J12" s="20"/>
    </row>
    <row r="13" spans="1:10" ht="12.75" customHeight="1" x14ac:dyDescent="0.2">
      <c r="A13" s="20"/>
      <c r="B13" s="20"/>
      <c r="C13" s="20"/>
      <c r="D13" s="20"/>
      <c r="E13" s="20"/>
      <c r="F13" s="20"/>
      <c r="G13" s="20"/>
      <c r="H13" s="20"/>
      <c r="I13" s="20"/>
      <c r="J13" s="20"/>
    </row>
    <row r="14" spans="1:10" ht="12.75" customHeight="1" x14ac:dyDescent="0.2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9" t="s">
        <v>33</v>
      </c>
      <c r="I14" s="19" t="s">
        <v>34</v>
      </c>
      <c r="J14" s="19" t="s">
        <v>35</v>
      </c>
    </row>
    <row r="15" spans="1:10" ht="12.75" customHeight="1" x14ac:dyDescent="0.2">
      <c r="A15" s="6" t="s">
        <v>36</v>
      </c>
      <c r="B15" s="6" t="s">
        <v>18</v>
      </c>
      <c r="C15" s="6" t="str">
        <f>172&amp;"."&amp;16&amp;"."&amp;0&amp;"."&amp;(H15+A2)</f>
        <v>172.16.0.14</v>
      </c>
      <c r="D15" s="6" t="s">
        <v>37</v>
      </c>
      <c r="E15" s="6" t="str">
        <f>A2&amp;"."&amp;A2&amp;"."&amp;A2&amp;"."&amp;H15</f>
        <v>4.4.4.10</v>
      </c>
      <c r="F15" s="6" t="s">
        <v>38</v>
      </c>
      <c r="G15" s="6" t="s">
        <v>39</v>
      </c>
      <c r="H15" s="21">
        <v>10</v>
      </c>
      <c r="I15" s="21" t="b">
        <f t="array" ref="I15">_xlfn.XLOOKUP(1,( 'Site 1 (HUB)'!A:A=A15 )*( 'Site 1 (HUB)'!B:B=B15 ),'Site 1 (HUB)'!I:I)</f>
        <v>1</v>
      </c>
      <c r="J15" s="21"/>
    </row>
    <row r="16" spans="1:10" ht="12.75" customHeight="1" x14ac:dyDescent="0.2">
      <c r="A16" s="6" t="s">
        <v>40</v>
      </c>
      <c r="B16" s="6" t="s">
        <v>21</v>
      </c>
      <c r="C16" s="6" t="str">
        <f>172&amp;"."&amp;16&amp;"."&amp;0&amp;"."&amp;(H16+A2)</f>
        <v>172.16.0.34</v>
      </c>
      <c r="D16" s="6" t="s">
        <v>37</v>
      </c>
      <c r="E16" s="6" t="str">
        <f>A2&amp;"."&amp;A2&amp;"."&amp;A2&amp;"."&amp;H16</f>
        <v>4.4.4.30</v>
      </c>
      <c r="F16" s="6" t="s">
        <v>38</v>
      </c>
      <c r="G16" s="6" t="s">
        <v>39</v>
      </c>
      <c r="H16" s="21">
        <v>30</v>
      </c>
      <c r="I16" s="21" t="b">
        <f t="array" ref="I16">_xlfn.XLOOKUP(1,( 'Site 1 (HUB)'!A:A=A16 )*( 'Site 1 (HUB)'!B:B=B16 ),'Site 1 (HUB)'!I:I)</f>
        <v>1</v>
      </c>
      <c r="J16" s="21"/>
    </row>
    <row r="17" spans="1:10" ht="12.75" customHeight="1" x14ac:dyDescent="0.2">
      <c r="A17" s="20"/>
      <c r="B17" s="20"/>
      <c r="C17" s="20"/>
      <c r="D17" s="20"/>
      <c r="E17" s="20"/>
      <c r="F17" s="20"/>
      <c r="G17" s="20"/>
      <c r="H17" s="20"/>
      <c r="I17" s="20"/>
      <c r="J17" s="20"/>
    </row>
    <row r="18" spans="1:10" ht="12.75" customHeight="1" x14ac:dyDescent="0.2">
      <c r="A18" s="20"/>
      <c r="B18" s="20"/>
      <c r="C18" s="20"/>
      <c r="D18" s="20"/>
      <c r="E18" s="20"/>
      <c r="F18" s="20"/>
      <c r="G18" s="20"/>
      <c r="H18" s="20"/>
      <c r="I18" s="20"/>
      <c r="J18" s="20"/>
    </row>
    <row r="19" spans="1:10" ht="12.75" customHeight="1" x14ac:dyDescent="0.2"/>
    <row r="20" spans="1:10" ht="12.75" customHeight="1" x14ac:dyDescent="0.2"/>
    <row r="21" spans="1:10" ht="12.75" customHeight="1" x14ac:dyDescent="0.2"/>
    <row r="22" spans="1:10" ht="12.75" customHeight="1" x14ac:dyDescent="0.2"/>
    <row r="23" spans="1:10" ht="12.75" customHeight="1" x14ac:dyDescent="0.2"/>
    <row r="24" spans="1:10" ht="12.75" customHeight="1" x14ac:dyDescent="0.2"/>
    <row r="25" spans="1:10" ht="12.75" customHeight="1" x14ac:dyDescent="0.2"/>
    <row r="26" spans="1:10" ht="12.75" customHeight="1" x14ac:dyDescent="0.2"/>
    <row r="27" spans="1:10" ht="12.75" customHeight="1" x14ac:dyDescent="0.2"/>
    <row r="28" spans="1:10" ht="12.75" customHeight="1" x14ac:dyDescent="0.2"/>
    <row r="29" spans="1:10" ht="12.75" customHeight="1" x14ac:dyDescent="0.2"/>
    <row r="30" spans="1:10" ht="12.75" customHeight="1" x14ac:dyDescent="0.2"/>
    <row r="31" spans="1:10" ht="12.75" customHeight="1" x14ac:dyDescent="0.2"/>
    <row r="32" spans="1:10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Site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2026-09-02T12:24:53Z</dcterms:modified>
</cp:coreProperties>
</file>