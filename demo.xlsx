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"/>
    </mc:Choice>
  </mc:AlternateContent>
  <xr:revisionPtr revIDLastSave="0" documentId="13_ncr:1_{80E19B13-2439-4A0C-B471-D027FC47DA2D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Site 1 (HUB)" sheetId="1" r:id="rId1"/>
    <sheet name="Site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" l="1"/>
  <c r="E24" i="2"/>
  <c r="D24" i="2"/>
  <c r="A24" i="2"/>
  <c r="C24" i="2" s="1"/>
  <c r="I23" i="2"/>
  <c r="E23" i="2"/>
  <c r="D23" i="2"/>
  <c r="A23" i="2"/>
  <c r="C23" i="2" s="1"/>
  <c r="I22" i="2"/>
  <c r="E22" i="2"/>
  <c r="D22" i="2"/>
  <c r="A22" i="2"/>
  <c r="C22" i="2" s="1"/>
  <c r="I25" i="1"/>
  <c r="E25" i="1"/>
  <c r="D25" i="1"/>
  <c r="A25" i="1"/>
  <c r="C25" i="1" s="1"/>
  <c r="I24" i="1"/>
  <c r="E24" i="1"/>
  <c r="D24" i="1"/>
  <c r="A24" i="1"/>
  <c r="C24" i="1" s="1"/>
  <c r="I23" i="1"/>
  <c r="E23" i="1"/>
  <c r="D23" i="1"/>
  <c r="A23" i="1"/>
  <c r="C23" i="1" s="1"/>
  <c r="A22" i="1"/>
  <c r="I22" i="1"/>
  <c r="E22" i="1"/>
  <c r="A19" i="2"/>
  <c r="A19" i="1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2" i="1" s="1"/>
  <c r="C2" i="1"/>
  <c r="E7" i="2" l="1"/>
  <c r="G7" i="2"/>
  <c r="E6" i="2"/>
  <c r="G6" i="2"/>
  <c r="E5" i="2"/>
  <c r="G5" i="2"/>
  <c r="E5" i="1"/>
  <c r="D22" i="1" s="1"/>
  <c r="G6" i="1"/>
  <c r="G7" i="1"/>
</calcChain>
</file>

<file path=xl/sharedStrings.xml><?xml version="1.0" encoding="utf-8"?>
<sst xmlns="http://schemas.openxmlformats.org/spreadsheetml/2006/main" count="151" uniqueCount="51">
  <si>
    <t>site</t>
  </si>
  <si>
    <t>intf_prefix</t>
  </si>
  <si>
    <t>router-id</t>
  </si>
  <si>
    <t>brukernavn</t>
  </si>
  <si>
    <t>passord</t>
  </si>
  <si>
    <t>vty_lines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</si>
  <si>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</si>
  <si>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</si>
  <si>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</si>
  <si>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</si>
  <si>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</si>
  <si>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</si>
  <si>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</si>
  <si>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</si>
  <si>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</si>
  <si>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</si>
  <si>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</si>
  <si>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</si>
  <si>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</si>
  <si>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</si>
  <si>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</si>
  <si>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</si>
  <si>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</si>
  <si>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</si>
  <si>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</si>
  <si>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</si>
  <si>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</si>
  <si>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</si>
  <si>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</si>
  <si>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</si>
  <si>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</si>
  <si>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</si>
  <si>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</si>
  <si>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</si>
  <si>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</si>
  <si>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</si>
  <si>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</si>
  <si>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</si>
  <si>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</si>
  <si>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</si>
  <si>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</si>
  <si>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</si>
  <si>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</si>
  <si>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</si>
  <si>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</si>
  <si>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</si>
  <si>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</si>
  <si>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</si>
  <si>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</si>
  <si>
    <t>30.2-20.5</t>
  </si>
  <si>
    <t>20.1-10.1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</si>
</sst>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111">
    <dxf>
      <alignment textRotation="0" wrapText="1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10"/>
      <tableStyleElement type="headerRow" dxfId="109"/>
      <tableStyleElement type="firstRowStripe" dxfId="108"/>
      <tableStyleElement type="secondRowStripe" dxfId="107"/>
    </tableStyle>
    <tableStyle name="Site 3-style" pivot="0" count="4" xr9:uid="{00000000-0011-0000-FFFF-FFFF01000000}">
      <tableStyleElement type="wholeTable" size="0" dxfId="106"/>
      <tableStyleElement type="headerRow" dxfId="105"/>
      <tableStyleElement type="firstRowStripe" dxfId="104"/>
      <tableStyleElement type="secondRowStripe" dxfId="103"/>
    </tableStyle>
    <tableStyle name="Site 2-style" pivot="0" count="4" xr9:uid="{00000000-0011-0000-FFFF-FFFF02000000}">
      <tableStyleElement type="wholeTable" size="0" dxfId="102"/>
      <tableStyleElement type="headerRow" dxfId="101"/>
      <tableStyleElement type="firstRowStripe" dxfId="100"/>
      <tableStyleElement type="secondRowStripe" dxfId="99"/>
    </tableStyle>
    <tableStyle name="Site 4-style" pivot="0" count="4" xr9:uid="{00000000-0011-0000-FFFF-FFFF03000000}">
      <tableStyleElement type="wholeTable" size="0" dxfId="98"/>
      <tableStyleElement type="headerRow" dxfId="97"/>
      <tableStyleElement type="firstRowStripe" dxfId="96"/>
      <tableStyleElement type="secondRowStripe" dxfId="95"/>
    </tableStyle>
    <tableStyle name="Site 3-style 2" pivot="0" count="4" xr9:uid="{00000000-0011-0000-FFFF-FFFF04000000}">
      <tableStyleElement type="wholeTable" size="0" dxfId="94"/>
      <tableStyleElement type="headerRow" dxfId="93"/>
      <tableStyleElement type="firstRowStripe" dxfId="92"/>
      <tableStyleElement type="secondRowStripe" dxfId="91"/>
    </tableStyle>
    <tableStyle name="Site 1 (HUB)-style 2" pivot="0" count="4" xr9:uid="{00000000-0011-0000-FFFF-FFFF05000000}">
      <tableStyleElement type="wholeTable" size="0" dxfId="90"/>
      <tableStyleElement type="headerRow" dxfId="89"/>
      <tableStyleElement type="firstRowStripe" dxfId="88"/>
      <tableStyleElement type="secondRowStripe" dxfId="87"/>
    </tableStyle>
    <tableStyle name="Site 2-style 2" pivot="0" count="4" xr9:uid="{00000000-0011-0000-FFFF-FFFF06000000}">
      <tableStyleElement type="wholeTable" size="0" dxfId="86"/>
      <tableStyleElement type="headerRow" dxfId="85"/>
      <tableStyleElement type="firstRowStripe" dxfId="84"/>
      <tableStyleElement type="secondRowStripe" dxfId="83"/>
    </tableStyle>
    <tableStyle name="Site 3-style 3" pivot="0" count="4" xr9:uid="{00000000-0011-0000-FFFF-FFFF07000000}">
      <tableStyleElement type="wholeTable" size="0" dxfId="82"/>
      <tableStyleElement type="headerRow" dxfId="81"/>
      <tableStyleElement type="firstRowStripe" dxfId="80"/>
      <tableStyleElement type="secondRowStripe" dxfId="79"/>
    </tableStyle>
    <tableStyle name="Site 1 (HUB)-style 3" pivot="0" count="4" xr9:uid="{00000000-0011-0000-FFFF-FFFF08000000}">
      <tableStyleElement type="wholeTable" size="0" dxfId="78"/>
      <tableStyleElement type="headerRow" dxfId="77"/>
      <tableStyleElement type="firstRowStripe" dxfId="76"/>
      <tableStyleElement type="secondRowStripe" dxfId="75"/>
    </tableStyle>
    <tableStyle name="Site 4-style 2" pivot="0" count="4" xr9:uid="{00000000-0011-0000-FFFF-FFFF09000000}">
      <tableStyleElement type="wholeTable" size="0" dxfId="74"/>
      <tableStyleElement type="headerRow" dxfId="73"/>
      <tableStyleElement type="firstRowStripe" dxfId="72"/>
      <tableStyleElement type="secondRowStripe" dxfId="71"/>
    </tableStyle>
    <tableStyle name="Site 3-style 4" pivot="0" count="4" xr9:uid="{00000000-0011-0000-FFFF-FFFF0A000000}">
      <tableStyleElement type="wholeTable" size="0" dxfId="70"/>
      <tableStyleElement type="headerRow" dxfId="69"/>
      <tableStyleElement type="firstRowStripe" dxfId="68"/>
      <tableStyleElement type="secondRowStripe" dxfId="67"/>
    </tableStyle>
    <tableStyle name="Site 1 (HUB)-style 4" pivot="0" count="4" xr9:uid="{00000000-0011-0000-FFFF-FFFF0B000000}">
      <tableStyleElement type="wholeTable" size="0" dxfId="66"/>
      <tableStyleElement type="headerRow" dxfId="65"/>
      <tableStyleElement type="firstRowStripe" dxfId="64"/>
      <tableStyleElement type="secondRowStripe" dxfId="63"/>
    </tableStyle>
    <tableStyle name="Site 2-style 3" pivot="0" count="4" xr9:uid="{00000000-0011-0000-FFFF-FFFF0C000000}">
      <tableStyleElement type="wholeTable" size="0" dxfId="62"/>
      <tableStyleElement type="headerRow" dxfId="61"/>
      <tableStyleElement type="firstRowStripe" dxfId="60"/>
      <tableStyleElement type="secondRowStripe" dxfId="59"/>
    </tableStyle>
    <tableStyle name="Site 4-style 3" pivot="0" count="4" xr9:uid="{00000000-0011-0000-FFFF-FFFF0D000000}">
      <tableStyleElement type="wholeTable" size="0" dxfId="58"/>
      <tableStyleElement type="headerRow" dxfId="57"/>
      <tableStyleElement type="firstRowStripe" dxfId="56"/>
      <tableStyleElement type="secondRowStripe" dxfId="55"/>
    </tableStyle>
    <tableStyle name="Site 2-style 4" pivot="0" count="4" xr9:uid="{00000000-0011-0000-FFFF-FFFF0E000000}">
      <tableStyleElement type="wholeTable" size="0" dxfId="54"/>
      <tableStyleElement type="headerRow" dxfId="53"/>
      <tableStyleElement type="firstRowStripe" dxfId="52"/>
      <tableStyleElement type="secondRowStripe" dxfId="51"/>
    </tableStyle>
    <tableStyle name="Site 4-style 4" pivot="0" count="4" xr9:uid="{00000000-0011-0000-FFFF-FFFF0F000000}">
      <tableStyleElement type="wholeTable" size="0" dxfId="50"/>
      <tableStyleElement type="headerRow" dxfId="49"/>
      <tableStyleElement type="firstRowStripe" dxfId="48"/>
      <tableStyleElement type="secondRowStripe" dxfId="4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F2">
  <tableColumns count="6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22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D19" headerRowDxfId="21" dataDxfId="20" totalsRowDxfId="19">
  <tableColumns count="4">
    <tableColumn id="1" xr3:uid="{2906F324-3A93-4FB9-9A3C-D48E0E017DE1}" name="site" dataDxfId="18">
      <calculatedColumnFormula>A2</calculatedColumnFormula>
    </tableColumn>
    <tableColumn id="2" xr3:uid="{EACB8E41-CE14-43F2-9E46-F1D9E473C840}" name="brukernavn" dataDxfId="17"/>
    <tableColumn id="4" xr3:uid="{BDD570DD-38B1-4E0D-8E69-41BC5527F423}" name="passord" dataDxfId="16"/>
    <tableColumn id="5" xr3:uid="{0C9E5C25-E441-46FF-92BD-E2BEA9C8A2C6}" name="vty_lines" dataDxfId="15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1:I25" headerRowDxfId="14" totalsRowDxfId="13">
  <tableColumns count="9">
    <tableColumn id="1" xr3:uid="{1B73E0C7-C498-41F8-BAC8-7E845E00CB65}" name="SW" dataDxfId="12"/>
    <tableColumn id="2" xr3:uid="{55746631-7369-4BB6-92AF-BC912FBA9E5B}" name="MGMT Vlan" dataDxfId="11"/>
    <tableColumn id="3" xr3:uid="{33D1D208-4592-452F-9EE7-3DD24275FDDC}" name="MGMT ip" dataDxfId="10">
      <calculatedColumnFormula>LEFT($G$5,LEN($G$5)-1)&amp;(RIGHT($G$5,1)+A22)</calculatedColumnFormula>
    </tableColumn>
    <tableColumn id="4" xr3:uid="{300ED09A-B325-432A-824C-60A4545FEF10}" name="gateway" dataDxfId="9">
      <calculatedColumnFormula>$E$5</calculatedColumnFormula>
    </tableColumn>
    <tableColumn id="5" xr3:uid="{DE41E3AD-2DD4-4E00-AAA7-E16DA0B7B327}" name="mask" dataDxfId="8">
      <calculatedColumnFormula>$F$5</calculatedColumnFormula>
    </tableColumn>
    <tableColumn id="6" xr3:uid="{10A4DA4A-2584-4B29-9285-F3E796366BC6}" name="vlan-antall" dataDxfId="7" totalsRowDxfId="6"/>
    <tableColumn id="7" xr3:uid="{40A0DCDD-4793-4C04-AB5A-E199F256A0D9}" name="num_ports" dataDxfId="5" totalsRowDxfId="4"/>
    <tableColumn id="8" xr3:uid="{D6B9E8CD-F7E4-4AF1-8D5B-45A78B5D62E7}" name="intf_prefix" dataDxfId="3" totalsRowDxfId="2"/>
    <tableColumn id="9" xr3:uid="{03637906-AC3E-4DB7-AEDB-025CDAD6ADBA}" name="num_port_ledig" dataDxfId="1" totalsRowDxfId="0">
      <calculatedColumnFormula>$G22-3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F2">
  <tableColumns count="6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46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D19" headerRowDxfId="45" dataDxfId="44" totalsRowDxfId="43">
  <tableColumns count="4">
    <tableColumn id="1" xr3:uid="{FCAD462F-C9DE-45E3-B342-8BC685D1666E}" name="site" dataDxfId="42">
      <calculatedColumnFormula>A2</calculatedColumnFormula>
    </tableColumn>
    <tableColumn id="4" xr3:uid="{A37D0432-8751-44ED-8106-422243C1F04B}" name="brukernavn" dataDxfId="41"/>
    <tableColumn id="5" xr3:uid="{1A9A17E0-8442-4E89-96DC-BC0A8BECBBCA}" name="passord" dataDxfId="40"/>
    <tableColumn id="3" xr3:uid="{F0C81F5E-B27A-43FB-83C1-1FEB580854DE}" name="vty_lines" dataDxfId="39" totalsRowDxfId="38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730A-1530-4A6C-8C70-0F2C6BF9753C}" name="Tabell161824282" displayName="Tabell161824282" ref="A21:I24" headerRowDxfId="37" totalsRowDxfId="36">
  <tableColumns count="9">
    <tableColumn id="1" xr3:uid="{15F3A197-501D-4FB4-9993-D97C276F45D1}" name="SW" dataDxfId="35">
      <calculatedColumnFormula>ROW()-21</calculatedColumnFormula>
    </tableColumn>
    <tableColumn id="2" xr3:uid="{74DD496A-588F-4B13-B651-6375E15475E0}" name="MGMT Vlan" dataDxfId="34"/>
    <tableColumn id="3" xr3:uid="{DADAFDFC-5D9A-4BEF-83FF-73C8B73914A7}" name="MGMT ip" dataDxfId="33">
      <calculatedColumnFormula>LEFT($G$5,LEN($G$5)-1)&amp;(RIGHT($G$5,1)+A22)</calculatedColumnFormula>
    </tableColumn>
    <tableColumn id="4" xr3:uid="{42D46B63-EECB-4A1E-9799-D2E7774B9BCD}" name="gateway" dataDxfId="32">
      <calculatedColumnFormula>$E$5</calculatedColumnFormula>
    </tableColumn>
    <tableColumn id="5" xr3:uid="{0BA7E9B1-43B9-44A7-AEF2-587DFD6DB8EE}" name="mask" dataDxfId="31">
      <calculatedColumnFormula>$F$5</calculatedColumnFormula>
    </tableColumn>
    <tableColumn id="6" xr3:uid="{5B7AA8BC-D315-4E8D-8528-C2AE65848FDF}" name="vlan-antall" dataDxfId="30" totalsRowDxfId="29"/>
    <tableColumn id="7" xr3:uid="{1088FF3C-FB1C-4E78-BE34-551D9AC36C3C}" name="num_ports" dataDxfId="28" totalsRowDxfId="27"/>
    <tableColumn id="8" xr3:uid="{19FD676B-E225-4461-8031-718593F85D50}" name="intf_prefix" dataDxfId="26" totalsRowDxfId="25"/>
    <tableColumn id="9" xr3:uid="{B26584E6-2A20-4139-9852-FBB25CD74431}" name="num_port_ledig" dataDxfId="24" totalsRowDxfId="23">
      <calculatedColumnFormula>$G22-3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workbookViewId="0">
      <pane ySplit="1" topLeftCell="A2" activePane="bottomLeft" state="frozen"/>
      <selection pane="bottomLeft" activeCell="D27" sqref="D27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  <col min="7" max="7" width="23.28515625" customWidth="1"/>
    <col min="9" max="9" width="18.42578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">
      <c r="A2" s="2">
        <v>1</v>
      </c>
      <c r="B2" s="2" t="s">
        <v>46</v>
      </c>
      <c r="C2" s="2" t="str">
        <f>A2&amp;"."&amp;A2&amp;"."&amp;A2&amp;".0"</f>
        <v>1.1.1.0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39</v>
      </c>
      <c r="J4" s="14" t="s">
        <v>48</v>
      </c>
      <c r="K4" s="14" t="s">
        <v>40</v>
      </c>
    </row>
    <row r="5" spans="1:11" ht="15.75" customHeight="1" x14ac:dyDescent="0.2">
      <c r="A5" s="6" t="s">
        <v>17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18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19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18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20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18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"/>
    <row r="14" spans="1:11" ht="15.75" customHeight="1" x14ac:dyDescent="0.2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5" t="s">
        <v>30</v>
      </c>
      <c r="G14" s="5" t="s">
        <v>31</v>
      </c>
      <c r="H14" s="1" t="s">
        <v>32</v>
      </c>
      <c r="I14" s="1" t="s">
        <v>33</v>
      </c>
      <c r="J14" s="1" t="s">
        <v>34</v>
      </c>
    </row>
    <row r="15" spans="1:11" ht="15.75" customHeight="1" x14ac:dyDescent="0.2">
      <c r="A15" s="6" t="s">
        <v>35</v>
      </c>
      <c r="B15" s="6" t="s">
        <v>17</v>
      </c>
      <c r="C15" s="6" t="str">
        <f>172&amp;"."&amp;16&amp;"."&amp;0&amp;"."&amp;(H15+A2)</f>
        <v>172.16.0.11</v>
      </c>
      <c r="D15" s="6" t="s">
        <v>36</v>
      </c>
      <c r="E15" s="6" t="str">
        <f>A2&amp;"."&amp;A2&amp;"."&amp;A2&amp;"."&amp;H15</f>
        <v>1.1.1.10</v>
      </c>
      <c r="F15" s="6"/>
      <c r="G15" s="6" t="s">
        <v>37</v>
      </c>
      <c r="H15" s="2">
        <v>10</v>
      </c>
      <c r="I15" s="2"/>
      <c r="J15" s="2"/>
    </row>
    <row r="16" spans="1:11" ht="15.75" customHeight="1" x14ac:dyDescent="0.2">
      <c r="A16" s="6" t="s">
        <v>38</v>
      </c>
      <c r="B16" s="6" t="s">
        <v>20</v>
      </c>
      <c r="C16" s="6" t="str">
        <f>172&amp;"."&amp;16&amp;"."&amp;0&amp;"."&amp;(H16+A2)</f>
        <v>172.16.0.31</v>
      </c>
      <c r="D16" s="6" t="s">
        <v>36</v>
      </c>
      <c r="E16" s="6" t="str">
        <f>A2&amp;"."&amp;A2&amp;"."&amp;A2&amp;"."&amp;H16</f>
        <v>1.1.1.30</v>
      </c>
      <c r="F16" s="6"/>
      <c r="G16" s="6" t="s">
        <v>37</v>
      </c>
      <c r="H16" s="2">
        <v>30</v>
      </c>
      <c r="I16" s="2" t="b">
        <v>1</v>
      </c>
      <c r="J16" s="2"/>
    </row>
    <row r="17" spans="1:9" ht="15.75" customHeight="1" x14ac:dyDescent="0.2">
      <c r="A17" s="9"/>
      <c r="B17" s="9"/>
      <c r="C17" s="9"/>
      <c r="D17" s="9"/>
      <c r="E17" s="9"/>
      <c r="F17" s="9"/>
      <c r="G17" s="9"/>
    </row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">
      <c r="A19" s="11">
        <f>A2</f>
        <v>1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"/>
    <row r="21" spans="1:9" ht="15.75" customHeight="1" x14ac:dyDescent="0.2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">
      <c r="A22" s="6">
        <f>ROW()-21</f>
        <v>1</v>
      </c>
      <c r="B22" s="6">
        <v>10</v>
      </c>
      <c r="C22" s="6" t="str">
        <f>LEFT($G$5,LEN($G$5)-1)&amp;(RIGHT($G$5,1)+A22)</f>
        <v>10.11.0.2</v>
      </c>
      <c r="D22" s="6" t="str">
        <f>$E$5</f>
        <v>10.11.0.1</v>
      </c>
      <c r="E22" s="6" t="str">
        <f>$F$5</f>
        <v>255.255.0.0</v>
      </c>
      <c r="F22" s="6">
        <v>30.1</v>
      </c>
      <c r="G22" s="11">
        <v>4</v>
      </c>
      <c r="H22" s="11" t="s">
        <v>46</v>
      </c>
      <c r="I22" s="11">
        <f>$G22-3</f>
        <v>1</v>
      </c>
    </row>
    <row r="23" spans="1:9" ht="15.75" customHeight="1" x14ac:dyDescent="0.2">
      <c r="A23" s="6">
        <f>ROW()-21</f>
        <v>2</v>
      </c>
      <c r="B23" s="6">
        <v>10</v>
      </c>
      <c r="C23" s="6" t="str">
        <f>LEFT($G$5,LEN($G$5)-1)&amp;(RIGHT($G$5,1)+A23)</f>
        <v>10.11.0.3</v>
      </c>
      <c r="D23" s="6" t="str">
        <f>$E$5</f>
        <v>10.11.0.1</v>
      </c>
      <c r="E23" s="6" t="str">
        <f>$F$5</f>
        <v>255.255.0.0</v>
      </c>
      <c r="F23" s="6">
        <v>30.1</v>
      </c>
      <c r="G23" s="11">
        <v>4</v>
      </c>
      <c r="H23" s="11" t="s">
        <v>46</v>
      </c>
      <c r="I23" s="11">
        <f>$G23-3</f>
        <v>1</v>
      </c>
    </row>
    <row r="24" spans="1:9" ht="15.75" customHeight="1" x14ac:dyDescent="0.2">
      <c r="A24" s="6">
        <f>ROW()-21</f>
        <v>3</v>
      </c>
      <c r="B24" s="6">
        <v>10</v>
      </c>
      <c r="C24" s="6" t="str">
        <f>LEFT($G$5,LEN($G$5)-1)&amp;(RIGHT($G$5,1)+A24)</f>
        <v>10.11.0.4</v>
      </c>
      <c r="D24" s="6" t="str">
        <f>$E$5</f>
        <v>10.11.0.1</v>
      </c>
      <c r="E24" s="6" t="str">
        <f>$F$5</f>
        <v>255.255.0.0</v>
      </c>
      <c r="F24" s="6">
        <v>30.1</v>
      </c>
      <c r="G24" s="11">
        <v>4</v>
      </c>
      <c r="H24" s="11" t="s">
        <v>46</v>
      </c>
      <c r="I24" s="11">
        <f>$G24-3</f>
        <v>1</v>
      </c>
    </row>
    <row r="25" spans="1:9" ht="15.75" customHeight="1" x14ac:dyDescent="0.2">
      <c r="A25" s="6">
        <f>ROW()-21</f>
        <v>4</v>
      </c>
      <c r="B25" s="6">
        <v>10</v>
      </c>
      <c r="C25" s="6" t="str">
        <f>LEFT($G$5,LEN($G$5)-1)&amp;(RIGHT($G$5,1)+A25)</f>
        <v>10.11.0.5</v>
      </c>
      <c r="D25" s="6" t="str">
        <f>$E$5</f>
        <v>10.11.0.1</v>
      </c>
      <c r="E25" s="6" t="str">
        <f>$F$5</f>
        <v>255.255.0.0</v>
      </c>
      <c r="F25" s="6">
        <v>30.1</v>
      </c>
      <c r="G25" s="11">
        <v>4</v>
      </c>
      <c r="H25" s="11" t="s">
        <v>46</v>
      </c>
      <c r="I25" s="11">
        <f>$G25-3</f>
        <v>1</v>
      </c>
    </row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6" type="noConversion"/>
  <dataValidations count="1">
    <dataValidation type="custom" allowBlank="1" showInputMessage="1" showErrorMessage="1" sqref="F22:F25" xr:uid="{D03F78DE-2965-48F5-B2E0-691EFE7B1D70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tabSelected="1" workbookViewId="0">
      <pane ySplit="1" topLeftCell="A2" activePane="bottomLeft" state="frozen"/>
      <selection pane="bottomLeft" activeCell="G27" sqref="G27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14.85546875" customWidth="1"/>
    <col min="9" max="9" width="26.5703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">
      <c r="A2" s="2">
        <v>2</v>
      </c>
      <c r="B2" s="2" t="s">
        <v>46</v>
      </c>
      <c r="C2" s="2" t="str">
        <f>A2&amp;"."&amp;A2&amp;"."&amp;A2&amp;".0"</f>
        <v>2.2.2.0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12" t="s">
        <v>15</v>
      </c>
      <c r="H4" s="12" t="s">
        <v>16</v>
      </c>
      <c r="I4" s="12" t="s">
        <v>39</v>
      </c>
      <c r="J4" s="14" t="s">
        <v>48</v>
      </c>
      <c r="K4" s="14" t="s">
        <v>40</v>
      </c>
    </row>
    <row r="5" spans="1:11" ht="15.75" customHeight="1" x14ac:dyDescent="0.2">
      <c r="A5" s="6" t="s">
        <v>17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18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19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18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20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18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"/>
    <row r="14" spans="1:11" ht="15.75" customHeight="1" x14ac:dyDescent="0.2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12" t="s">
        <v>30</v>
      </c>
      <c r="G14" s="12" t="s">
        <v>31</v>
      </c>
      <c r="H14" s="13" t="s">
        <v>32</v>
      </c>
      <c r="I14" s="13" t="s">
        <v>33</v>
      </c>
      <c r="J14" s="13" t="s">
        <v>34</v>
      </c>
    </row>
    <row r="15" spans="1:11" ht="15.75" customHeight="1" x14ac:dyDescent="0.2">
      <c r="A15" s="6" t="s">
        <v>35</v>
      </c>
      <c r="B15" s="6" t="s">
        <v>17</v>
      </c>
      <c r="C15" s="6" t="str">
        <f>172&amp;"."&amp;16&amp;"."&amp;0&amp;"."&amp;(H15+A2)</f>
        <v>172.16.0.12</v>
      </c>
      <c r="D15" s="6" t="s">
        <v>36</v>
      </c>
      <c r="E15" s="6" t="str">
        <f>A2&amp;"."&amp;A2&amp;"."&amp;A2&amp;"."&amp;H15</f>
        <v>2.2.2.10</v>
      </c>
      <c r="F15" s="6"/>
      <c r="G15" s="6" t="s">
        <v>37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">
      <c r="A16" s="6" t="s">
        <v>38</v>
      </c>
      <c r="B16" s="6" t="s">
        <v>20</v>
      </c>
      <c r="C16" s="6" t="str">
        <f>172&amp;"."&amp;16&amp;"."&amp;0&amp;"."&amp;(H16+A2)</f>
        <v>172.16.0.32</v>
      </c>
      <c r="D16" s="6" t="s">
        <v>36</v>
      </c>
      <c r="E16" s="6" t="str">
        <f>A2&amp;"."&amp;A2&amp;"."&amp;A2&amp;"."&amp;H16</f>
        <v>2.2.2.30</v>
      </c>
      <c r="F16" s="6"/>
      <c r="G16" s="6" t="s">
        <v>37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9" ht="15.75" customHeight="1" x14ac:dyDescent="0.2"/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">
      <c r="A19" s="11">
        <f>A2</f>
        <v>2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"/>
    <row r="21" spans="1:9" ht="26.25" customHeight="1" x14ac:dyDescent="0.2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">
      <c r="A22" s="6">
        <f>ROW()-21</f>
        <v>1</v>
      </c>
      <c r="B22" s="6">
        <v>10</v>
      </c>
      <c r="C22" s="6" t="str">
        <f>LEFT($G$5,LEN($G$5)-1)&amp;(RIGHT($G$5,1)+A22)</f>
        <v>10.12.0.2</v>
      </c>
      <c r="D22" s="6" t="str">
        <f>$E$5</f>
        <v>10.12.0.1</v>
      </c>
      <c r="E22" s="6" t="str">
        <f>$F$5</f>
        <v>255.255.0.0</v>
      </c>
      <c r="F22" s="6" t="s">
        <v>50</v>
      </c>
      <c r="G22" s="11">
        <v>5</v>
      </c>
      <c r="H22" s="11" t="s">
        <v>46</v>
      </c>
      <c r="I22" s="11">
        <f>$G22-3</f>
        <v>2</v>
      </c>
    </row>
    <row r="23" spans="1:9" ht="15.75" customHeight="1" x14ac:dyDescent="0.2">
      <c r="A23" s="6">
        <f>ROW()-21</f>
        <v>2</v>
      </c>
      <c r="B23" s="6">
        <v>10</v>
      </c>
      <c r="C23" s="6" t="str">
        <f>LEFT($G$5,LEN($G$5)-1)&amp;(RIGHT($G$5,1)+A23)</f>
        <v>10.12.0.3</v>
      </c>
      <c r="D23" s="6" t="str">
        <f>$E$5</f>
        <v>10.12.0.1</v>
      </c>
      <c r="E23" s="6" t="str">
        <f>$F$5</f>
        <v>255.255.0.0</v>
      </c>
      <c r="F23" s="6" t="s">
        <v>49</v>
      </c>
      <c r="G23" s="11">
        <v>10</v>
      </c>
      <c r="H23" s="11" t="s">
        <v>46</v>
      </c>
      <c r="I23" s="11">
        <f>$G23-3</f>
        <v>7</v>
      </c>
    </row>
    <row r="24" spans="1:9" ht="15.75" customHeight="1" x14ac:dyDescent="0.2">
      <c r="A24" s="6">
        <f>ROW()-21</f>
        <v>3</v>
      </c>
      <c r="B24" s="6">
        <v>10</v>
      </c>
      <c r="C24" s="6" t="str">
        <f>LEFT($G$5,LEN($G$5)-1)&amp;(RIGHT($G$5,1)+A24)</f>
        <v>10.12.0.4</v>
      </c>
      <c r="D24" s="6" t="str">
        <f>$E$5</f>
        <v>10.12.0.1</v>
      </c>
      <c r="E24" s="6" t="str">
        <f>$F$5</f>
        <v>255.255.0.0</v>
      </c>
      <c r="F24" s="6">
        <v>30.1</v>
      </c>
      <c r="G24" s="11">
        <v>20</v>
      </c>
      <c r="H24" s="11" t="s">
        <v>46</v>
      </c>
      <c r="I24" s="11">
        <f>$G24-3</f>
        <v>17</v>
      </c>
    </row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1">
    <dataValidation type="custom" allowBlank="1" showInputMessage="1" showErrorMessage="1" sqref="F22:F24" xr:uid="{755C67B3-35A1-41CF-AFAD-859DFFCA6014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1 (HUB)</vt:lpstr>
      <vt:lpstr>Site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2026-09-04T20:40:41Z</dcterms:modified>
</cp:coreProperties>
</file>