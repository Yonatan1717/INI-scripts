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5"/>
    <sheet state="visible" name="Ark 2" sheetId="2" r:id="rId6"/>
    <sheet state="visible" name="Ark 3" sheetId="3" r:id="rId7"/>
  </sheets>
  <definedNames/>
  <calcPr/>
</workbook>
</file>

<file path=xl/sharedStrings.xml><?xml version="1.0" encoding="utf-8"?>
<sst xmlns="http://schemas.openxmlformats.org/spreadsheetml/2006/main" count="146" uniqueCount="40">
  <si>
    <t>site</t>
  </si>
  <si>
    <t>intf_prefix</t>
  </si>
  <si>
    <t>router-id</t>
  </si>
  <si>
    <t>brukernavn</t>
  </si>
  <si>
    <t>passord</t>
  </si>
  <si>
    <t>vty_lines</t>
  </si>
  <si>
    <t>E0/</t>
  </si>
  <si>
    <t>admin</t>
  </si>
  <si>
    <t>cisco</t>
  </si>
  <si>
    <t>0 - 4</t>
  </si>
  <si>
    <t>vrf</t>
  </si>
  <si>
    <t>vlan</t>
  </si>
  <si>
    <t>interface</t>
  </si>
  <si>
    <t>nett id</t>
  </si>
  <si>
    <t>gateway</t>
  </si>
  <si>
    <t>mask</t>
  </si>
  <si>
    <t>address min</t>
  </si>
  <si>
    <t>address max</t>
  </si>
  <si>
    <t>MGMT</t>
  </si>
  <si>
    <t>255.255.0.0</t>
  </si>
  <si>
    <t>INET</t>
  </si>
  <si>
    <t>UNET</t>
  </si>
  <si>
    <t>rt</t>
  </si>
  <si>
    <t>loopback</t>
  </si>
  <si>
    <t>laddr</t>
  </si>
  <si>
    <t>1337:10</t>
  </si>
  <si>
    <t>1337:20</t>
  </si>
  <si>
    <t>1337:30</t>
  </si>
  <si>
    <t>tunnel id</t>
  </si>
  <si>
    <t>ip address</t>
  </si>
  <si>
    <t>source</t>
  </si>
  <si>
    <t>destination</t>
  </si>
  <si>
    <t>gre mode</t>
  </si>
  <si>
    <t>network-id</t>
  </si>
  <si>
    <t>ipsec</t>
  </si>
  <si>
    <t>ipsec key</t>
  </si>
  <si>
    <t>tunnel 30</t>
  </si>
  <si>
    <t>255.255.255.0</t>
  </si>
  <si>
    <t>-</t>
  </si>
  <si>
    <t>multipoint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</si>
</sst>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shrinkToFit="0" vertical="bottom" wrapText="1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3" t="str">
        <f>A2&amp;"."&amp;A2&amp;"."&amp;A2&amp;".0"</f>
        <v>1.1.1.0</v>
      </c>
      <c r="D2" s="1" t="s">
        <v>7</v>
      </c>
      <c r="E2" s="1" t="s">
        <v>8</v>
      </c>
      <c r="F2" s="1" t="s">
        <v>9</v>
      </c>
    </row>
    <row r="3">
      <c r="A3" s="4"/>
      <c r="B3" s="5"/>
      <c r="C3" s="4"/>
      <c r="D3" s="4"/>
      <c r="E3" s="4"/>
      <c r="F3" s="4"/>
      <c r="G3" s="4"/>
      <c r="H3" s="4"/>
    </row>
    <row r="4">
      <c r="A4" s="4" t="s">
        <v>10</v>
      </c>
      <c r="B4" s="5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>
      <c r="A5" s="6" t="s">
        <v>18</v>
      </c>
      <c r="B5" s="7">
        <v>10.0</v>
      </c>
      <c r="C5" s="6">
        <v>0.0</v>
      </c>
      <c r="D5" s="6" t="str">
        <f>10&amp;"."&amp;(B5+A2)&amp;"."&amp;0&amp;"."&amp;0</f>
        <v>10.11.0.0</v>
      </c>
      <c r="E5" s="6" t="str">
        <f t="shared" ref="E5:E7" si="1">LEFT(D5,LEN(D5)-1)&amp;"1"</f>
        <v>10.11.0.1</v>
      </c>
      <c r="F5" s="6" t="s">
        <v>19</v>
      </c>
      <c r="G5" s="6" t="str">
        <f t="shared" ref="G5:G7" si="2">LEFT(D5,LEN(D5)-1)&amp;"1"</f>
        <v>10.11.0.1</v>
      </c>
      <c r="H5" s="6" t="str">
        <f>IFERROR(__xludf.DUMMYFUNCTION("REGEXREPLACE(D5,""\.[0-9]+\.[0-9]+$"","".255.254"")"),"10.11.255.254")</f>
        <v>10.11.255.254</v>
      </c>
    </row>
    <row r="6">
      <c r="A6" s="6" t="s">
        <v>20</v>
      </c>
      <c r="B6" s="7">
        <v>20.0</v>
      </c>
      <c r="C6" s="6">
        <v>0.0</v>
      </c>
      <c r="D6" s="6" t="str">
        <f>10&amp;"."&amp;(B6+A2)&amp;"."&amp;0&amp;"."&amp;0</f>
        <v>10.21.0.0</v>
      </c>
      <c r="E6" s="6" t="str">
        <f t="shared" si="1"/>
        <v>10.21.0.1</v>
      </c>
      <c r="F6" s="6" t="s">
        <v>19</v>
      </c>
      <c r="G6" s="6" t="str">
        <f t="shared" si="2"/>
        <v>10.21.0.1</v>
      </c>
      <c r="H6" s="6" t="str">
        <f>IFERROR(__xludf.DUMMYFUNCTION("REGEXREPLACE(D6,""\.[0-9]+\.[0-9]+$"","".255.254"")"),"10.21.255.254")</f>
        <v>10.21.255.254</v>
      </c>
    </row>
    <row r="7">
      <c r="A7" s="6" t="s">
        <v>21</v>
      </c>
      <c r="B7" s="7">
        <v>30.0</v>
      </c>
      <c r="C7" s="6">
        <v>0.0</v>
      </c>
      <c r="D7" s="6" t="str">
        <f>10&amp;"."&amp;(B7+A2)&amp;"."&amp;0&amp;"."&amp;0</f>
        <v>10.31.0.0</v>
      </c>
      <c r="E7" s="6" t="str">
        <f t="shared" si="1"/>
        <v>10.31.0.1</v>
      </c>
      <c r="F7" s="6" t="s">
        <v>19</v>
      </c>
      <c r="G7" s="6" t="str">
        <f t="shared" si="2"/>
        <v>10.31.0.1</v>
      </c>
      <c r="H7" s="6" t="str">
        <f>IFERROR(__xludf.DUMMYFUNCTION("REGEXREPLACE(D7,""\.[0-9]+\.[0-9]+$"","".255.254"")"),"10.31.255.254")</f>
        <v>10.31.255.254</v>
      </c>
    </row>
    <row r="8">
      <c r="A8" s="8"/>
      <c r="B8" s="8"/>
    </row>
    <row r="9">
      <c r="A9" s="4" t="s">
        <v>10</v>
      </c>
      <c r="B9" s="9" t="s">
        <v>22</v>
      </c>
      <c r="C9" s="4" t="s">
        <v>23</v>
      </c>
      <c r="D9" s="4" t="s">
        <v>24</v>
      </c>
    </row>
    <row r="10">
      <c r="A10" s="6" t="s">
        <v>18</v>
      </c>
      <c r="B10" s="10" t="s">
        <v>25</v>
      </c>
      <c r="C10" s="6">
        <v>10.0</v>
      </c>
      <c r="D10" s="6" t="str">
        <f>A2&amp;"."&amp;A2&amp;"."&amp;A2&amp;"."&amp;(C10)</f>
        <v>1.1.1.10</v>
      </c>
    </row>
    <row r="11">
      <c r="A11" s="6" t="s">
        <v>20</v>
      </c>
      <c r="B11" s="10" t="s">
        <v>26</v>
      </c>
      <c r="C11" s="6">
        <v>20.0</v>
      </c>
      <c r="D11" s="6" t="str">
        <f>A2&amp;"."&amp;A2&amp;"."&amp;A2&amp;"."&amp;(C11)</f>
        <v>1.1.1.20</v>
      </c>
    </row>
    <row r="12">
      <c r="A12" s="6" t="s">
        <v>21</v>
      </c>
      <c r="B12" s="10" t="s">
        <v>27</v>
      </c>
      <c r="C12" s="6">
        <v>30.0</v>
      </c>
      <c r="D12" s="6" t="str">
        <f>A2&amp;"."&amp;A2&amp;"."&amp;A2&amp;"."&amp;(C12)</f>
        <v>1.1.1.30</v>
      </c>
    </row>
    <row r="14">
      <c r="A14" s="4" t="s">
        <v>28</v>
      </c>
      <c r="B14" s="4" t="s">
        <v>10</v>
      </c>
      <c r="C14" s="4" t="s">
        <v>29</v>
      </c>
      <c r="D14" s="4" t="s">
        <v>15</v>
      </c>
      <c r="E14" s="4" t="s">
        <v>30</v>
      </c>
      <c r="F14" s="4" t="s">
        <v>31</v>
      </c>
      <c r="G14" s="4" t="s">
        <v>32</v>
      </c>
      <c r="H14" s="1" t="s">
        <v>33</v>
      </c>
      <c r="I14" s="1" t="s">
        <v>34</v>
      </c>
      <c r="J14" s="1" t="s">
        <v>35</v>
      </c>
    </row>
    <row r="15">
      <c r="A15" s="6" t="s">
        <v>36</v>
      </c>
      <c r="B15" s="6" t="s">
        <v>21</v>
      </c>
      <c r="C15" s="6" t="str">
        <f>172&amp;"."&amp;16&amp;"."&amp;0&amp;"."&amp;(H15+A2)</f>
        <v>172.16.0.31</v>
      </c>
      <c r="D15" s="6" t="s">
        <v>37</v>
      </c>
      <c r="E15" s="6" t="str">
        <f>A2&amp;"."&amp;A2&amp;"."&amp;A2&amp;"."&amp;H15</f>
        <v>1.1.1.30</v>
      </c>
      <c r="F15" s="6" t="s">
        <v>38</v>
      </c>
      <c r="G15" s="6" t="s">
        <v>39</v>
      </c>
      <c r="H15" s="1">
        <v>30.0</v>
      </c>
      <c r="I15" s="1" t="b">
        <v>1</v>
      </c>
      <c r="J15" s="1"/>
    </row>
    <row r="16">
      <c r="A16" s="4"/>
      <c r="B16" s="4"/>
      <c r="C16" s="4"/>
      <c r="D16" s="4"/>
      <c r="E16" s="4"/>
      <c r="F16" s="4"/>
      <c r="G16" s="4"/>
    </row>
    <row r="17">
      <c r="A17" s="6"/>
      <c r="B17" s="6"/>
      <c r="C17" s="6"/>
      <c r="D17" s="6"/>
      <c r="E17" s="6"/>
      <c r="F17" s="6"/>
      <c r="G1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2.0</v>
      </c>
      <c r="B2" s="1" t="s">
        <v>6</v>
      </c>
      <c r="C2" s="2" t="str">
        <f>A2&amp;"."&amp;A2&amp;"."&amp;A2&amp;".0"</f>
        <v>2.2.2.0</v>
      </c>
      <c r="D2" s="1" t="s">
        <v>7</v>
      </c>
      <c r="E2" s="1" t="s">
        <v>8</v>
      </c>
      <c r="F2" s="1" t="s">
        <v>9</v>
      </c>
    </row>
    <row r="3">
      <c r="A3" s="4"/>
      <c r="B3" s="5"/>
      <c r="C3" s="4"/>
      <c r="D3" s="4"/>
      <c r="E3" s="4"/>
      <c r="F3" s="4"/>
      <c r="G3" s="4"/>
      <c r="H3" s="4"/>
    </row>
    <row r="4">
      <c r="A4" s="4" t="s">
        <v>10</v>
      </c>
      <c r="B4" s="5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>
      <c r="A5" s="6" t="s">
        <v>18</v>
      </c>
      <c r="B5" s="7">
        <v>10.0</v>
      </c>
      <c r="C5" s="6">
        <v>0.0</v>
      </c>
      <c r="D5" s="6" t="str">
        <f>10&amp;"."&amp;(B5+A2)&amp;"."&amp;0&amp;"."&amp;0</f>
        <v>10.12.0.0</v>
      </c>
      <c r="E5" s="6" t="str">
        <f t="shared" ref="E5:E7" si="1">LEFT(D5,LEN(D5)-1)&amp;"1"</f>
        <v>10.12.0.1</v>
      </c>
      <c r="F5" s="6" t="s">
        <v>19</v>
      </c>
      <c r="G5" s="6" t="str">
        <f t="shared" ref="G5:G7" si="2">LEFT(D5,LEN(D5)-1)&amp;"1"</f>
        <v>10.12.0.1</v>
      </c>
      <c r="H5" s="6" t="str">
        <f>IFERROR(__xludf.DUMMYFUNCTION("REGEXREPLACE(D5,""\.[0-9]+\.[0-9]+$"","".255.254"")"),"10.12.255.254")</f>
        <v>10.12.255.254</v>
      </c>
    </row>
    <row r="6">
      <c r="A6" s="6" t="s">
        <v>20</v>
      </c>
      <c r="B6" s="7">
        <v>20.0</v>
      </c>
      <c r="C6" s="6">
        <v>0.0</v>
      </c>
      <c r="D6" s="6" t="str">
        <f>10&amp;"."&amp;(B6+A2)&amp;"."&amp;0&amp;"."&amp;0</f>
        <v>10.22.0.0</v>
      </c>
      <c r="E6" s="6" t="str">
        <f t="shared" si="1"/>
        <v>10.22.0.1</v>
      </c>
      <c r="F6" s="6" t="s">
        <v>19</v>
      </c>
      <c r="G6" s="6" t="str">
        <f t="shared" si="2"/>
        <v>10.22.0.1</v>
      </c>
      <c r="H6" s="6" t="str">
        <f>IFERROR(__xludf.DUMMYFUNCTION("REGEXREPLACE(D6,""\.[0-9]+\.[0-9]+$"","".255.254"")"),"10.22.255.254")</f>
        <v>10.22.255.254</v>
      </c>
    </row>
    <row r="7">
      <c r="A7" s="6" t="s">
        <v>21</v>
      </c>
      <c r="B7" s="7">
        <v>30.0</v>
      </c>
      <c r="C7" s="6">
        <v>0.0</v>
      </c>
      <c r="D7" s="6" t="str">
        <f>10&amp;"."&amp;(B7+A2)&amp;"."&amp;0&amp;"."&amp;0</f>
        <v>10.32.0.0</v>
      </c>
      <c r="E7" s="6" t="str">
        <f t="shared" si="1"/>
        <v>10.32.0.1</v>
      </c>
      <c r="F7" s="6" t="s">
        <v>19</v>
      </c>
      <c r="G7" s="6" t="str">
        <f t="shared" si="2"/>
        <v>10.32.0.1</v>
      </c>
      <c r="H7" s="6" t="str">
        <f>IFERROR(__xludf.DUMMYFUNCTION("REGEXREPLACE(D7,""\.[0-9]+\.[0-9]+$"","".255.254"")"),"10.32.255.254")</f>
        <v>10.32.255.254</v>
      </c>
    </row>
    <row r="8">
      <c r="A8" s="8"/>
      <c r="B8" s="8"/>
    </row>
    <row r="9">
      <c r="A9" s="4" t="s">
        <v>10</v>
      </c>
      <c r="B9" s="9" t="s">
        <v>22</v>
      </c>
      <c r="C9" s="4" t="s">
        <v>23</v>
      </c>
      <c r="D9" s="4" t="s">
        <v>24</v>
      </c>
    </row>
    <row r="10">
      <c r="A10" s="6" t="s">
        <v>18</v>
      </c>
      <c r="B10" s="10" t="s">
        <v>25</v>
      </c>
      <c r="C10" s="6">
        <v>10.0</v>
      </c>
      <c r="D10" s="6" t="str">
        <f>A2&amp;"."&amp;A2&amp;"."&amp;A2&amp;"."&amp;(C10)</f>
        <v>2.2.2.10</v>
      </c>
    </row>
    <row r="11">
      <c r="A11" s="6" t="s">
        <v>20</v>
      </c>
      <c r="B11" s="10" t="s">
        <v>26</v>
      </c>
      <c r="C11" s="6">
        <v>20.0</v>
      </c>
      <c r="D11" s="6" t="str">
        <f>A2&amp;"."&amp;A2&amp;"."&amp;A2&amp;"."&amp;(C11)</f>
        <v>2.2.2.20</v>
      </c>
    </row>
    <row r="12">
      <c r="A12" s="6" t="s">
        <v>21</v>
      </c>
      <c r="B12" s="10" t="s">
        <v>27</v>
      </c>
      <c r="C12" s="6">
        <v>30.0</v>
      </c>
      <c r="D12" s="6" t="str">
        <f>A2&amp;"."&amp;A2&amp;"."&amp;A2&amp;"."&amp;(C12)</f>
        <v>2.2.2.30</v>
      </c>
    </row>
    <row r="14">
      <c r="A14" s="4" t="s">
        <v>28</v>
      </c>
      <c r="B14" s="4" t="s">
        <v>10</v>
      </c>
      <c r="C14" s="4" t="s">
        <v>29</v>
      </c>
      <c r="D14" s="4" t="s">
        <v>15</v>
      </c>
      <c r="E14" s="4" t="s">
        <v>30</v>
      </c>
      <c r="F14" s="4" t="s">
        <v>31</v>
      </c>
      <c r="G14" s="4" t="s">
        <v>32</v>
      </c>
      <c r="H14" s="1" t="s">
        <v>33</v>
      </c>
      <c r="I14" s="1" t="s">
        <v>34</v>
      </c>
      <c r="J14" s="1" t="s">
        <v>35</v>
      </c>
    </row>
    <row r="15">
      <c r="A15" s="6" t="s">
        <v>36</v>
      </c>
      <c r="B15" s="6" t="s">
        <v>21</v>
      </c>
      <c r="C15" s="6" t="str">
        <f>172&amp;"."&amp;16&amp;"."&amp;0&amp;"."&amp;(H15+A2)</f>
        <v>172.16.0.32</v>
      </c>
      <c r="D15" s="6" t="s">
        <v>37</v>
      </c>
      <c r="E15" s="6" t="str">
        <f>A2&amp;"."&amp;A2&amp;"."&amp;A2&amp;"."&amp;H15</f>
        <v>2.2.2.30</v>
      </c>
      <c r="F15" s="6" t="s">
        <v>38</v>
      </c>
      <c r="G15" s="6" t="s">
        <v>39</v>
      </c>
      <c r="H15" s="1">
        <v>30.0</v>
      </c>
      <c r="I15" s="1" t="b">
        <v>1</v>
      </c>
      <c r="J1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3.0</v>
      </c>
      <c r="B2" s="1" t="s">
        <v>6</v>
      </c>
      <c r="C2" s="3" t="str">
        <f>A2&amp;"."&amp;A2&amp;"."&amp;A2&amp;".0"</f>
        <v>3.3.3.0</v>
      </c>
      <c r="D2" s="1" t="s">
        <v>7</v>
      </c>
      <c r="E2" s="1" t="s">
        <v>8</v>
      </c>
      <c r="F2" s="1" t="s">
        <v>9</v>
      </c>
    </row>
    <row r="3">
      <c r="A3" s="4"/>
      <c r="B3" s="5"/>
      <c r="C3" s="4"/>
      <c r="D3" s="4"/>
      <c r="E3" s="4"/>
      <c r="F3" s="4"/>
      <c r="G3" s="4"/>
      <c r="H3" s="4"/>
    </row>
    <row r="4">
      <c r="A4" s="4" t="s">
        <v>10</v>
      </c>
      <c r="B4" s="5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>
      <c r="A5" s="6" t="s">
        <v>18</v>
      </c>
      <c r="B5" s="7">
        <v>10.0</v>
      </c>
      <c r="C5" s="6">
        <v>0.0</v>
      </c>
      <c r="D5" s="6" t="str">
        <f>10&amp;"."&amp;(B5+A2)&amp;"."&amp;0&amp;"."&amp;0</f>
        <v>10.13.0.0</v>
      </c>
      <c r="E5" s="6" t="str">
        <f t="shared" ref="E5:E7" si="1">LEFT(D5,LEN(D5)-1)&amp;"1"</f>
        <v>10.13.0.1</v>
      </c>
      <c r="F5" s="6" t="s">
        <v>19</v>
      </c>
      <c r="G5" s="6" t="str">
        <f t="shared" ref="G5:G7" si="2">LEFT(D5,LEN(D5)-1)&amp;"1"</f>
        <v>10.13.0.1</v>
      </c>
      <c r="H5" s="6" t="str">
        <f>IFERROR(__xludf.DUMMYFUNCTION("REGEXREPLACE(D5,""\.[0-9]+\.[0-9]+$"","".255.254"")"),"10.13.255.254")</f>
        <v>10.13.255.254</v>
      </c>
    </row>
    <row r="6">
      <c r="A6" s="6" t="s">
        <v>20</v>
      </c>
      <c r="B6" s="7">
        <v>20.0</v>
      </c>
      <c r="C6" s="6">
        <v>0.0</v>
      </c>
      <c r="D6" s="6" t="str">
        <f>10&amp;"."&amp;(B6+A2)&amp;"."&amp;0&amp;"."&amp;0</f>
        <v>10.23.0.0</v>
      </c>
      <c r="E6" s="6" t="str">
        <f t="shared" si="1"/>
        <v>10.23.0.1</v>
      </c>
      <c r="F6" s="6" t="s">
        <v>19</v>
      </c>
      <c r="G6" s="6" t="str">
        <f t="shared" si="2"/>
        <v>10.23.0.1</v>
      </c>
      <c r="H6" s="6" t="str">
        <f>IFERROR(__xludf.DUMMYFUNCTION("REGEXREPLACE(D6,""\.[0-9]+\.[0-9]+$"","".255.254"")"),"10.23.255.254")</f>
        <v>10.23.255.254</v>
      </c>
    </row>
    <row r="7">
      <c r="A7" s="6" t="s">
        <v>21</v>
      </c>
      <c r="B7" s="7">
        <v>30.0</v>
      </c>
      <c r="C7" s="6">
        <v>0.0</v>
      </c>
      <c r="D7" s="6" t="str">
        <f>10&amp;"."&amp;(B7+A2)&amp;"."&amp;0&amp;"."&amp;0</f>
        <v>10.33.0.0</v>
      </c>
      <c r="E7" s="6" t="str">
        <f t="shared" si="1"/>
        <v>10.33.0.1</v>
      </c>
      <c r="F7" s="6" t="s">
        <v>19</v>
      </c>
      <c r="G7" s="6" t="str">
        <f t="shared" si="2"/>
        <v>10.33.0.1</v>
      </c>
      <c r="H7" s="6" t="str">
        <f>IFERROR(__xludf.DUMMYFUNCTION("REGEXREPLACE(D7,""\.[0-9]+\.[0-9]+$"","".255.254"")"),"10.33.255.254")</f>
        <v>10.33.255.254</v>
      </c>
    </row>
    <row r="8">
      <c r="A8" s="8"/>
      <c r="B8" s="8"/>
    </row>
    <row r="9">
      <c r="A9" s="4" t="s">
        <v>10</v>
      </c>
      <c r="B9" s="9" t="s">
        <v>22</v>
      </c>
      <c r="C9" s="4" t="s">
        <v>23</v>
      </c>
      <c r="D9" s="4" t="s">
        <v>24</v>
      </c>
    </row>
    <row r="10">
      <c r="A10" s="6" t="s">
        <v>18</v>
      </c>
      <c r="B10" s="10" t="s">
        <v>25</v>
      </c>
      <c r="C10" s="6">
        <v>10.0</v>
      </c>
      <c r="D10" s="6" t="str">
        <f>A2&amp;"."&amp;A2&amp;"."&amp;A2&amp;"."&amp;(C10)</f>
        <v>3.3.3.10</v>
      </c>
    </row>
    <row r="11">
      <c r="A11" s="6" t="s">
        <v>20</v>
      </c>
      <c r="B11" s="10" t="s">
        <v>26</v>
      </c>
      <c r="C11" s="6">
        <v>20.0</v>
      </c>
      <c r="D11" s="6" t="str">
        <f>A2&amp;"."&amp;A2&amp;"."&amp;A2&amp;"."&amp;(C11)</f>
        <v>3.3.3.20</v>
      </c>
    </row>
    <row r="12">
      <c r="A12" s="6" t="s">
        <v>21</v>
      </c>
      <c r="B12" s="10" t="s">
        <v>27</v>
      </c>
      <c r="C12" s="6">
        <v>30.0</v>
      </c>
      <c r="D12" s="6" t="str">
        <f>A2&amp;"."&amp;A2&amp;"."&amp;A2&amp;"."&amp;(C12)</f>
        <v>3.3.3.30</v>
      </c>
    </row>
    <row r="14">
      <c r="A14" s="4" t="s">
        <v>28</v>
      </c>
      <c r="B14" s="4" t="s">
        <v>10</v>
      </c>
      <c r="C14" s="4" t="s">
        <v>29</v>
      </c>
      <c r="D14" s="4" t="s">
        <v>15</v>
      </c>
      <c r="E14" s="4" t="s">
        <v>30</v>
      </c>
      <c r="F14" s="4" t="s">
        <v>31</v>
      </c>
      <c r="G14" s="4" t="s">
        <v>32</v>
      </c>
      <c r="H14" s="1" t="s">
        <v>33</v>
      </c>
      <c r="I14" s="1" t="s">
        <v>34</v>
      </c>
      <c r="J14" s="1" t="s">
        <v>35</v>
      </c>
    </row>
    <row r="15">
      <c r="A15" s="6" t="s">
        <v>36</v>
      </c>
      <c r="B15" s="6" t="s">
        <v>21</v>
      </c>
      <c r="C15" s="6" t="str">
        <f>172&amp;"."&amp;16&amp;"."&amp;0&amp;"."&amp;(H15+A2)</f>
        <v>172.16.0.33</v>
      </c>
      <c r="D15" s="6" t="s">
        <v>37</v>
      </c>
      <c r="E15" s="6" t="str">
        <f>A2&amp;"."&amp;A2&amp;"."&amp;A2&amp;"."&amp;H15</f>
        <v>3.3.3.30</v>
      </c>
      <c r="F15" s="6"/>
      <c r="G15" s="6" t="s">
        <v>39</v>
      </c>
      <c r="H15" s="1">
        <v>30.0</v>
      </c>
      <c r="I15" s="1" t="b">
        <v>1</v>
      </c>
      <c r="J15" s="1"/>
    </row>
  </sheetData>
  <drawing r:id="rId1"/>
</worksheet>
</file>