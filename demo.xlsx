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"/>
    </mc:Choice>
  </mc:AlternateContent>
  <xr:revisionPtr revIDLastSave="0" documentId="13_ncr:1_{D2BA198F-781E-4663-85CB-60D57A2CA8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te 1 (HUB)" sheetId="1" r:id="rId1"/>
    <sheet name="Site 2" sheetId="2" r:id="rId2"/>
    <sheet name="Site 3" sheetId="3" r:id="rId3"/>
    <sheet name="Site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4" l="1"/>
  <c r="I23" i="4"/>
  <c r="E23" i="4"/>
  <c r="E22" i="4"/>
  <c r="I23" i="3"/>
  <c r="E23" i="3"/>
  <c r="D23" i="3"/>
  <c r="C23" i="3"/>
  <c r="I22" i="3"/>
  <c r="E22" i="3"/>
  <c r="D22" i="3"/>
  <c r="C22" i="3"/>
  <c r="I23" i="2"/>
  <c r="E23" i="2"/>
  <c r="D23" i="2"/>
  <c r="C23" i="2"/>
  <c r="I22" i="2"/>
  <c r="E22" i="2"/>
  <c r="D22" i="2"/>
  <c r="C22" i="2"/>
  <c r="I23" i="1"/>
  <c r="I22" i="1"/>
  <c r="A19" i="4"/>
  <c r="A19" i="2"/>
  <c r="A19" i="3"/>
  <c r="E23" i="1"/>
  <c r="E22" i="1"/>
  <c r="A19" i="1"/>
  <c r="H5" i="4"/>
  <c r="I16" i="4" a="1"/>
  <c r="I16" i="4" s="1"/>
  <c r="E16" i="4"/>
  <c r="C16" i="4"/>
  <c r="I15" i="4" a="1"/>
  <c r="I15" i="4" s="1"/>
  <c r="E15" i="4"/>
  <c r="C15" i="4"/>
  <c r="D12" i="4"/>
  <c r="D11" i="4"/>
  <c r="D10" i="4"/>
  <c r="H7" i="4"/>
  <c r="D7" i="4"/>
  <c r="G7" i="4" s="1"/>
  <c r="H6" i="4"/>
  <c r="D6" i="4"/>
  <c r="D5" i="4"/>
  <c r="G5" i="4" s="1"/>
  <c r="C2" i="4"/>
  <c r="I16" i="3" a="1"/>
  <c r="I16" i="3" s="1"/>
  <c r="E16" i="3"/>
  <c r="C16" i="3"/>
  <c r="I15" i="3" a="1"/>
  <c r="I15" i="3" s="1"/>
  <c r="E15" i="3"/>
  <c r="C15" i="3"/>
  <c r="D12" i="3"/>
  <c r="D11" i="3"/>
  <c r="D10" i="3"/>
  <c r="H7" i="3"/>
  <c r="D7" i="3"/>
  <c r="H6" i="3"/>
  <c r="D6" i="3"/>
  <c r="H5" i="3"/>
  <c r="D5" i="3"/>
  <c r="C2" i="3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C23" i="4" l="1"/>
  <c r="C22" i="4"/>
  <c r="C23" i="1"/>
  <c r="C22" i="1"/>
  <c r="E7" i="2"/>
  <c r="G7" i="2"/>
  <c r="E6" i="2"/>
  <c r="G6" i="2"/>
  <c r="E5" i="2"/>
  <c r="G5" i="2"/>
  <c r="E7" i="3"/>
  <c r="G7" i="3"/>
  <c r="G6" i="3"/>
  <c r="E6" i="3"/>
  <c r="E5" i="3"/>
  <c r="G5" i="3"/>
  <c r="E6" i="4"/>
  <c r="G6" i="4"/>
  <c r="E5" i="4"/>
  <c r="E5" i="1"/>
  <c r="G6" i="1"/>
  <c r="G7" i="1"/>
  <c r="E7" i="4"/>
  <c r="D23" i="4" l="1"/>
  <c r="D22" i="4"/>
  <c r="D23" i="1"/>
  <c r="D22" i="1"/>
</calcChain>
</file>

<file path=xl/sharedStrings.xml><?xml version="1.0" encoding="utf-8"?>
<sst xmlns="http://schemas.openxmlformats.org/spreadsheetml/2006/main" count="296" uniqueCount="52">
  <si>
    <t>site</t>
  </si>
  <si>
    <t>intf_prefix</t>
  </si>
  <si>
    <t>router-id</t>
  </si>
  <si>
    <t>brukernavn</t>
  </si>
  <si>
    <t>passord</t>
  </si>
  <si>
    <t>vty_lines</t>
  </si>
  <si>
    <t>E0/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</si>
  <si>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</si>
  <si>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</si>
  <si>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</si>
  <si>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</si>
  <si>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</si>
  <si>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</si>
  <si>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</si>
  <si>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</si>
  <si>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</si>
  <si>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</si>
  <si>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</si>
  <si>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</si>
  <si>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</si>
  <si>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</si>
  <si>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</si>
  <si>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</si>
  <si>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</si>
  <si>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</si>
  <si>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</si>
  <si>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</si>
  <si>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</si>
  <si>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</si>
  <si>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</si>
  <si>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</si>
  <si>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</si>
  <si>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</si>
  <si>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</si>
  <si>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</si>
  <si>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</si>
  <si>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</si>
  <si>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</si>
  <si>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</si>
  <si>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</si>
  <si>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</si>
  <si>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</si>
  <si>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</si>
  <si>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</si>
  <si>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</si>
  <si>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</si>
  <si>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</si>
  <si>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</si>
  <si>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f0/</t>
  </si>
  <si>
    <t>20.10-30.2</t>
  </si>
  <si>
    <t>20.10-30.1</t>
  </si>
  <si>
    <t>num_port_ledig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</si>
</sst>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shrinkToFit="1"/>
    </xf>
    <xf numFmtId="0" fontId="0" fillId="0" borderId="0" xfId="0" applyAlignment="1">
      <alignment shrinkToFit="1"/>
    </xf>
    <xf numFmtId="0" fontId="1" fillId="0" borderId="0" xfId="0" applyFont="1" applyAlignment="1">
      <alignment vertical="center" shrinkToFit="1"/>
    </xf>
    <xf numFmtId="0" fontId="2" fillId="0" borderId="0" xfId="0" applyFont="1" applyAlignment="1">
      <alignment horizontal="left" shrinkToFit="1"/>
    </xf>
    <xf numFmtId="0" fontId="3" fillId="0" borderId="0" xfId="0" applyFont="1" applyAlignment="1">
      <alignment shrinkToFit="1"/>
    </xf>
    <xf numFmtId="0" fontId="3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 shrinkToFit="1"/>
    </xf>
    <xf numFmtId="0" fontId="5" fillId="0" borderId="0" xfId="0" applyFont="1" applyAlignment="1">
      <alignment vertical="center" shrinkToFit="1"/>
    </xf>
    <xf numFmtId="0" fontId="1" fillId="0" borderId="0" xfId="0" applyFont="1" applyAlignment="1">
      <alignment horizontal="left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249"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248"/>
      <tableStyleElement type="headerRow" dxfId="247"/>
      <tableStyleElement type="firstRowStripe" dxfId="246"/>
      <tableStyleElement type="secondRowStripe" dxfId="245"/>
    </tableStyle>
    <tableStyle name="Site 3-style" pivot="0" count="4" xr9:uid="{00000000-0011-0000-FFFF-FFFF01000000}">
      <tableStyleElement type="wholeTable" size="0" dxfId="244"/>
      <tableStyleElement type="headerRow" dxfId="243"/>
      <tableStyleElement type="firstRowStripe" dxfId="242"/>
      <tableStyleElement type="secondRowStripe" dxfId="241"/>
    </tableStyle>
    <tableStyle name="Site 2-style" pivot="0" count="4" xr9:uid="{00000000-0011-0000-FFFF-FFFF02000000}">
      <tableStyleElement type="wholeTable" size="0" dxfId="240"/>
      <tableStyleElement type="headerRow" dxfId="239"/>
      <tableStyleElement type="firstRowStripe" dxfId="238"/>
      <tableStyleElement type="secondRowStripe" dxfId="237"/>
    </tableStyle>
    <tableStyle name="Site 4-style" pivot="0" count="4" xr9:uid="{00000000-0011-0000-FFFF-FFFF03000000}">
      <tableStyleElement type="wholeTable" size="0" dxfId="236"/>
      <tableStyleElement type="headerRow" dxfId="235"/>
      <tableStyleElement type="firstRowStripe" dxfId="234"/>
      <tableStyleElement type="secondRowStripe" dxfId="233"/>
    </tableStyle>
    <tableStyle name="Site 3-style 2" pivot="0" count="4" xr9:uid="{00000000-0011-0000-FFFF-FFFF04000000}">
      <tableStyleElement type="wholeTable" size="0" dxfId="232"/>
      <tableStyleElement type="headerRow" dxfId="231"/>
      <tableStyleElement type="firstRowStripe" dxfId="230"/>
      <tableStyleElement type="secondRowStripe" dxfId="229"/>
    </tableStyle>
    <tableStyle name="Site 1 (HUB)-style 2" pivot="0" count="4" xr9:uid="{00000000-0011-0000-FFFF-FFFF05000000}">
      <tableStyleElement type="wholeTable" size="0" dxfId="228"/>
      <tableStyleElement type="headerRow" dxfId="227"/>
      <tableStyleElement type="firstRowStripe" dxfId="226"/>
      <tableStyleElement type="secondRowStripe" dxfId="225"/>
    </tableStyle>
    <tableStyle name="Site 2-style 2" pivot="0" count="4" xr9:uid="{00000000-0011-0000-FFFF-FFFF06000000}">
      <tableStyleElement type="wholeTable" size="0" dxfId="224"/>
      <tableStyleElement type="headerRow" dxfId="223"/>
      <tableStyleElement type="firstRowStripe" dxfId="222"/>
      <tableStyleElement type="secondRowStripe" dxfId="221"/>
    </tableStyle>
    <tableStyle name="Site 3-style 3" pivot="0" count="4" xr9:uid="{00000000-0011-0000-FFFF-FFFF07000000}">
      <tableStyleElement type="wholeTable" size="0" dxfId="220"/>
      <tableStyleElement type="headerRow" dxfId="219"/>
      <tableStyleElement type="firstRowStripe" dxfId="218"/>
      <tableStyleElement type="secondRowStripe" dxfId="217"/>
    </tableStyle>
    <tableStyle name="Site 1 (HUB)-style 3" pivot="0" count="4" xr9:uid="{00000000-0011-0000-FFFF-FFFF08000000}">
      <tableStyleElement type="wholeTable" size="0" dxfId="216"/>
      <tableStyleElement type="headerRow" dxfId="215"/>
      <tableStyleElement type="firstRowStripe" dxfId="214"/>
      <tableStyleElement type="secondRowStripe" dxfId="213"/>
    </tableStyle>
    <tableStyle name="Site 4-style 2" pivot="0" count="4" xr9:uid="{00000000-0011-0000-FFFF-FFFF09000000}">
      <tableStyleElement type="wholeTable" size="0" dxfId="212"/>
      <tableStyleElement type="headerRow" dxfId="211"/>
      <tableStyleElement type="firstRowStripe" dxfId="210"/>
      <tableStyleElement type="secondRowStripe" dxfId="209"/>
    </tableStyle>
    <tableStyle name="Site 3-style 4" pivot="0" count="4" xr9:uid="{00000000-0011-0000-FFFF-FFFF0A000000}">
      <tableStyleElement type="wholeTable" size="0" dxfId="208"/>
      <tableStyleElement type="headerRow" dxfId="207"/>
      <tableStyleElement type="firstRowStripe" dxfId="206"/>
      <tableStyleElement type="secondRowStripe" dxfId="205"/>
    </tableStyle>
    <tableStyle name="Site 1 (HUB)-style 4" pivot="0" count="4" xr9:uid="{00000000-0011-0000-FFFF-FFFF0B000000}">
      <tableStyleElement type="wholeTable" size="0" dxfId="204"/>
      <tableStyleElement type="headerRow" dxfId="203"/>
      <tableStyleElement type="firstRowStripe" dxfId="202"/>
      <tableStyleElement type="secondRowStripe" dxfId="201"/>
    </tableStyle>
    <tableStyle name="Site 2-style 3" pivot="0" count="4" xr9:uid="{00000000-0011-0000-FFFF-FFFF0C000000}">
      <tableStyleElement type="wholeTable" size="0" dxfId="200"/>
      <tableStyleElement type="headerRow" dxfId="199"/>
      <tableStyleElement type="firstRowStripe" dxfId="198"/>
      <tableStyleElement type="secondRowStripe" dxfId="197"/>
    </tableStyle>
    <tableStyle name="Site 4-style 3" pivot="0" count="4" xr9:uid="{00000000-0011-0000-FFFF-FFFF0D000000}">
      <tableStyleElement type="wholeTable" size="0" dxfId="196"/>
      <tableStyleElement type="headerRow" dxfId="195"/>
      <tableStyleElement type="firstRowStripe" dxfId="194"/>
      <tableStyleElement type="secondRowStripe" dxfId="193"/>
    </tableStyle>
    <tableStyle name="Site 2-style 4" pivot="0" count="4" xr9:uid="{00000000-0011-0000-FFFF-FFFF0E000000}">
      <tableStyleElement type="wholeTable" size="0" dxfId="192"/>
      <tableStyleElement type="headerRow" dxfId="191"/>
      <tableStyleElement type="firstRowStripe" dxfId="190"/>
      <tableStyleElement type="secondRowStripe" dxfId="189"/>
    </tableStyle>
    <tableStyle name="Site 4-style 4" pivot="0" count="4" xr9:uid="{00000000-0011-0000-FFFF-FFFF0F000000}">
      <tableStyleElement type="wholeTable" size="0" dxfId="188"/>
      <tableStyleElement type="headerRow" dxfId="187"/>
      <tableStyleElement type="firstRowStripe" dxfId="186"/>
      <tableStyleElement type="secondRowStripe" dxfId="18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J7">
  <tableColumns count="10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140"/>
    <tableColumn id="10" xr3:uid="{5AE4CD65-C2FF-447E-B037-873FB4F36B65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66" dataDxfId="67" totalsRowDxfId="86">
  <tableColumns count="4">
    <tableColumn id="1" xr3:uid="{2906F324-3A93-4FB9-9A3C-D48E0E017DE1}" name="site" dataDxfId="71">
      <calculatedColumnFormula>A2</calculatedColumnFormula>
    </tableColumn>
    <tableColumn id="2" xr3:uid="{EACB8E41-CE14-43F2-9E46-F1D9E473C840}" name="brukernavn" dataDxfId="70"/>
    <tableColumn id="4" xr3:uid="{BDD570DD-38B1-4E0D-8E69-41BC5527F423}" name="passord" dataDxfId="69"/>
    <tableColumn id="5" xr3:uid="{0C9E5C25-E441-46FF-92BD-E2BEA9C8A2C6}" name="vty_lines" dataDxfId="68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3" headerRowDxfId="85" dataDxfId="84" totalsRowDxfId="83">
  <tableColumns count="9">
    <tableColumn id="1" xr3:uid="{1B73E0C7-C498-41F8-BAC8-7E845E00CB65}" name="SW" dataDxfId="82"/>
    <tableColumn id="2" xr3:uid="{55746631-7369-4BB6-92AF-BC912FBA9E5B}" name="MGMT Vlan" dataDxfId="81"/>
    <tableColumn id="3" xr3:uid="{33D1D208-4592-452F-9EE7-3DD24275FDDC}" name="MGMT ip" dataDxfId="80">
      <calculatedColumnFormula>LEFT($G$5,LEN($G$5)-1)&amp;(RIGHT($G$5,1)+A22)</calculatedColumnFormula>
    </tableColumn>
    <tableColumn id="4" xr3:uid="{300ED09A-B325-432A-824C-60A4545FEF10}" name="gateway" dataDxfId="79">
      <calculatedColumnFormula>$E$5</calculatedColumnFormula>
    </tableColumn>
    <tableColumn id="5" xr3:uid="{DE41E3AD-2DD4-4E00-AAA7-E16DA0B7B327}" name="mask" dataDxfId="78">
      <calculatedColumnFormula>$F$5</calculatedColumnFormula>
    </tableColumn>
    <tableColumn id="6" xr3:uid="{10A4DA4A-2584-4B29-9285-F3E796366BC6}" name="vlan-antall" dataDxfId="76" totalsRowDxfId="77"/>
    <tableColumn id="7" xr3:uid="{40A0DCDD-4793-4C04-AB5A-E199F256A0D9}" name="num_ports" dataDxfId="74" totalsRowDxfId="75"/>
    <tableColumn id="8" xr3:uid="{D6B9E8CD-F7E4-4AF1-8D5B-45A78B5D62E7}" name="intf_prefix" dataDxfId="72" totalsRowDxfId="73"/>
    <tableColumn id="9" xr3:uid="{03637906-AC3E-4DB7-AEDB-025CDAD6ADBA}" name="num_port_ledig" dataDxfId="48" totalsRowDxfId="49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J7">
  <tableColumns count="10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139"/>
    <tableColumn id="10" xr3:uid="{10BC51DC-9FCC-48A1-8D71-0913AE61C798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65" dataDxfId="64" totalsRowDxfId="63">
  <tableColumns count="4">
    <tableColumn id="1" xr3:uid="{FCAD462F-C9DE-45E3-B342-8BC685D1666E}" name="site" dataDxfId="62">
      <calculatedColumnFormula>A2</calculatedColumnFormula>
    </tableColumn>
    <tableColumn id="4" xr3:uid="{A37D0432-8751-44ED-8106-422243C1F04B}" name="brukernavn" dataDxfId="61"/>
    <tableColumn id="5" xr3:uid="{1A9A17E0-8442-4E89-96DC-BC0A8BECBBCA}" name="passord" dataDxfId="60"/>
    <tableColumn id="3" xr3:uid="{F0C81F5E-B27A-43FB-83C1-1FEB580854DE}" name="vty_lines" dataDxfId="58" totalsRowDxfId="59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D1C10A1-9717-4057-887E-5357402CB0E7}" name="Tabell1618242833" displayName="Tabell1618242833" ref="A21:I23" headerRowDxfId="47" dataDxfId="46" totalsRowDxfId="45">
  <tableColumns count="9">
    <tableColumn id="1" xr3:uid="{85F36277-7C1F-4D2C-A112-F88A589A07DE}" name="SW" dataDxfId="44"/>
    <tableColumn id="2" xr3:uid="{5147590E-0FE4-463A-9241-58FBD204D8DE}" name="MGMT Vlan" dataDxfId="43"/>
    <tableColumn id="3" xr3:uid="{F8B990D7-C517-482F-BAFB-8EA413932149}" name="MGMT ip" dataDxfId="42">
      <calculatedColumnFormula>LEFT($G$5,LEN($G$5)-1)&amp;(RIGHT($G$5,1)+A22)</calculatedColumnFormula>
    </tableColumn>
    <tableColumn id="4" xr3:uid="{BCAF6C67-3F43-4FFA-8105-4158589FBEBF}" name="gateway" dataDxfId="41">
      <calculatedColumnFormula>$E$5</calculatedColumnFormula>
    </tableColumn>
    <tableColumn id="5" xr3:uid="{D20CE737-A3E7-4538-BC2C-E8176E6D9EE6}" name="mask" dataDxfId="40">
      <calculatedColumnFormula>$F$5</calculatedColumnFormula>
    </tableColumn>
    <tableColumn id="6" xr3:uid="{9365541B-740A-44C6-ADF0-F56C3A9D13D1}" name="vlan-antall" dataDxfId="38" totalsRowDxfId="39"/>
    <tableColumn id="7" xr3:uid="{7551B7F0-84D1-4CCD-9D8E-AEF551C0B4CA}" name="num_ports" dataDxfId="36" totalsRowDxfId="37"/>
    <tableColumn id="8" xr3:uid="{7717CEDF-A842-4402-B477-8AD92D9C9A65}" name="intf_prefix" dataDxfId="34" totalsRowDxfId="35"/>
    <tableColumn id="9" xr3:uid="{31DB8A8F-54E2-45C5-B25D-6C92CA4826D3}" name="num_port_ledig" dataDxfId="32" totalsRowDxfId="33">
      <calculatedColumnFormula>$G22-3</calculatedColumnFormula>
    </tableColumn>
  </tableColumns>
  <tableStyleInfo name="Site 4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8000000}" name="Tabell9" displayName="Tabell9" ref="A1:F2" headerRowDxfId="138" dataDxfId="137" totalsRowDxfId="136">
  <tableColumns count="6">
    <tableColumn id="1" xr3:uid="{00000000-0010-0000-0800-000001000000}" name="site" dataDxfId="135"/>
    <tableColumn id="2" xr3:uid="{00000000-0010-0000-0800-000002000000}" name="intf_prefix" dataDxfId="134"/>
    <tableColumn id="3" xr3:uid="{00000000-0010-0000-0800-000003000000}" name="router-id" dataDxfId="133"/>
    <tableColumn id="4" xr3:uid="{00000000-0010-0000-0800-000004000000}" name="brukernavn" dataDxfId="132"/>
    <tableColumn id="5" xr3:uid="{00000000-0010-0000-0800-000005000000}" name="passord" dataDxfId="131"/>
    <tableColumn id="6" xr3:uid="{00000000-0010-0000-0800-000006000000}" name="vty_lines" dataDxfId="130"/>
  </tableColumns>
  <tableStyleInfo name="Site 3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9000000}" name="Tabell10" displayName="Tabell10" ref="A4:J7" headerRowDxfId="129" dataDxfId="128" totalsRowDxfId="127">
  <tableColumns count="10">
    <tableColumn id="1" xr3:uid="{00000000-0010-0000-0900-000001000000}" name="vrf" dataDxfId="126"/>
    <tableColumn id="2" xr3:uid="{00000000-0010-0000-0900-000002000000}" name="vlan" dataDxfId="125"/>
    <tableColumn id="3" xr3:uid="{00000000-0010-0000-0900-000003000000}" name="interface" dataDxfId="124"/>
    <tableColumn id="4" xr3:uid="{00000000-0010-0000-0900-000004000000}" name="nett id" dataDxfId="123"/>
    <tableColumn id="5" xr3:uid="{00000000-0010-0000-0900-000005000000}" name="gateway" dataDxfId="122"/>
    <tableColumn id="6" xr3:uid="{00000000-0010-0000-0900-000006000000}" name="mask" dataDxfId="121"/>
    <tableColumn id="7" xr3:uid="{00000000-0010-0000-0900-000007000000}" name="address min" dataDxfId="120"/>
    <tableColumn id="8" xr3:uid="{00000000-0010-0000-0900-000008000000}" name="address max" dataDxfId="119"/>
    <tableColumn id="9" xr3:uid="{E31F8F39-D63F-4CA9-A605-F61B0B449EB7}" name="antall-res" dataDxfId="118" totalsRowDxfId="117"/>
    <tableColumn id="10" xr3:uid="{872D007A-F188-416D-BDFA-5197C1FAB215}" name="pri-1-10" dataDxfId="116" totalsRowDxfId="115"/>
  </tableColumns>
  <tableStyleInfo name="Site 3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A000000}" name="Tabell11" displayName="Tabell11" ref="A9:D12" headerRowDxfId="114" dataDxfId="113" totalsRowDxfId="112">
  <tableColumns count="4">
    <tableColumn id="1" xr3:uid="{00000000-0010-0000-0A00-000001000000}" name="vrf" dataDxfId="111"/>
    <tableColumn id="2" xr3:uid="{00000000-0010-0000-0A00-000002000000}" name="rt" dataDxfId="110"/>
    <tableColumn id="3" xr3:uid="{00000000-0010-0000-0A00-000003000000}" name="loopback" dataDxfId="109"/>
    <tableColumn id="4" xr3:uid="{00000000-0010-0000-0A00-000004000000}" name="laddr" dataDxfId="108"/>
  </tableColumns>
  <tableStyleInfo name="Site 3-style 3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ell12" displayName="Tabell12" ref="A14:J16" headerRowDxfId="107" dataDxfId="106" totalsRowDxfId="105">
  <tableColumns count="10">
    <tableColumn id="1" xr3:uid="{00000000-0010-0000-0B00-000001000000}" name="tunnel id" dataDxfId="104"/>
    <tableColumn id="2" xr3:uid="{00000000-0010-0000-0B00-000002000000}" name="vrf" dataDxfId="103"/>
    <tableColumn id="3" xr3:uid="{00000000-0010-0000-0B00-000003000000}" name="ip address" dataDxfId="102"/>
    <tableColumn id="4" xr3:uid="{00000000-0010-0000-0B00-000004000000}" name="mask" dataDxfId="101"/>
    <tableColumn id="5" xr3:uid="{00000000-0010-0000-0B00-000005000000}" name="source" dataDxfId="100"/>
    <tableColumn id="6" xr3:uid="{00000000-0010-0000-0B00-000006000000}" name="destination" dataDxfId="99"/>
    <tableColumn id="7" xr3:uid="{00000000-0010-0000-0B00-000007000000}" name="gre mode" dataDxfId="98"/>
    <tableColumn id="8" xr3:uid="{00000000-0010-0000-0B00-000008000000}" name="network-id" dataDxfId="97"/>
    <tableColumn id="9" xr3:uid="{00000000-0010-0000-0B00-000009000000}" name="ipsec" dataDxfId="96"/>
    <tableColumn id="10" xr3:uid="{00000000-0010-0000-0B00-00000A000000}" name="ipsec key" dataDxfId="95"/>
  </tableColumns>
  <tableStyleInfo name="Site 3-style 4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71FA6E0-20D0-4D68-8F75-9BC6D33AEC28}" name="Tabell131925" displayName="Tabell131925" ref="A18:D19" headerRowDxfId="94" dataDxfId="93" totalsRowDxfId="92">
  <tableColumns count="4">
    <tableColumn id="1" xr3:uid="{68B11CB8-E233-4C05-9B20-4ADCD976C64B}" name="site" dataDxfId="89">
      <calculatedColumnFormula>A2</calculatedColumnFormula>
    </tableColumn>
    <tableColumn id="4" xr3:uid="{FDDC7181-12D2-43E0-853F-6281BFE0E403}" name="brukernavn" dataDxfId="91"/>
    <tableColumn id="5" xr3:uid="{45F825C9-6D5D-4E28-9965-034B652DABF4}" name="passord" dataDxfId="90"/>
    <tableColumn id="3" xr3:uid="{D40EA742-833B-4C1B-8CF3-182940D06155}" name="vty_lines" dataDxfId="88" totalsRowDxfId="87"/>
  </tableColumns>
  <tableStyleInfo name="Site 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F0AEEB5-D5DA-4CB9-AB6B-B97B7AE075D1}" name="Tabell1618242834" displayName="Tabell1618242834" ref="A21:I23" headerRowDxfId="31" dataDxfId="30" totalsRowDxfId="29">
  <tableColumns count="9">
    <tableColumn id="1" xr3:uid="{2C0FFB90-FD0E-4F5F-85AC-E3FB6C085769}" name="SW" dataDxfId="28"/>
    <tableColumn id="2" xr3:uid="{4017D61A-E49C-4287-8990-B95DCBADAAC1}" name="MGMT Vlan" dataDxfId="27"/>
    <tableColumn id="3" xr3:uid="{48660E34-6CA1-440A-87C1-A2F141A33F70}" name="MGMT ip" dataDxfId="26">
      <calculatedColumnFormula>LEFT($G$5,LEN($G$5)-1)&amp;(RIGHT($G$5,1)+A22)</calculatedColumnFormula>
    </tableColumn>
    <tableColumn id="4" xr3:uid="{00F7743A-6AF2-4508-A596-A62C3824AC73}" name="gateway" dataDxfId="25">
      <calculatedColumnFormula>$E$5</calculatedColumnFormula>
    </tableColumn>
    <tableColumn id="5" xr3:uid="{5EB57692-77E9-4C8D-AB83-8F42BC26AABF}" name="mask" dataDxfId="24">
      <calculatedColumnFormula>$F$5</calculatedColumnFormula>
    </tableColumn>
    <tableColumn id="6" xr3:uid="{49842686-D018-4422-BB38-D97BCA859527}" name="vlan-antall" dataDxfId="22" totalsRowDxfId="23"/>
    <tableColumn id="7" xr3:uid="{90851401-E5C6-461C-B283-D8404251EA03}" name="num_ports" dataDxfId="20" totalsRowDxfId="21"/>
    <tableColumn id="8" xr3:uid="{E1F410F1-DF40-401E-8FFE-25798E72DFFD}" name="intf_prefix" dataDxfId="18" totalsRowDxfId="19"/>
    <tableColumn id="9" xr3:uid="{D966C86C-EB6C-4819-B85A-BC33E3CE7501}" name="num_port_ledig" dataDxfId="16" totalsRowDxfId="17">
      <calculatedColumnFormula>$G22-3</calculatedColumnFormula>
    </tableColumn>
  </tableColumns>
  <tableStyleInfo name="Site 4-style 4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C000000}" name="Tabell13" displayName="Tabell13" ref="A1:F2" headerRowDxfId="184" dataDxfId="183" totalsRowDxfId="182">
  <tableColumns count="6">
    <tableColumn id="1" xr3:uid="{00000000-0010-0000-0C00-000001000000}" name="site" dataDxfId="181"/>
    <tableColumn id="2" xr3:uid="{00000000-0010-0000-0C00-000002000000}" name="intf_prefix" dataDxfId="180"/>
    <tableColumn id="3" xr3:uid="{00000000-0010-0000-0C00-000003000000}" name="router-id" dataDxfId="179"/>
    <tableColumn id="4" xr3:uid="{00000000-0010-0000-0C00-000004000000}" name="brukernavn" dataDxfId="178"/>
    <tableColumn id="5" xr3:uid="{00000000-0010-0000-0C00-000005000000}" name="passord" dataDxfId="177"/>
    <tableColumn id="6" xr3:uid="{00000000-0010-0000-0C00-000006000000}" name="vty_lines" dataDxfId="176"/>
  </tableColumns>
  <tableStyleInfo name="Site 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D000000}" name="Tabell14" displayName="Tabell14" ref="A4:J7" headerRowDxfId="175" dataDxfId="174" totalsRowDxfId="173">
  <tableColumns count="10">
    <tableColumn id="1" xr3:uid="{00000000-0010-0000-0D00-000001000000}" name="vrf" dataDxfId="172"/>
    <tableColumn id="2" xr3:uid="{00000000-0010-0000-0D00-000002000000}" name="vlan" dataDxfId="171"/>
    <tableColumn id="3" xr3:uid="{00000000-0010-0000-0D00-000003000000}" name="interface" dataDxfId="170"/>
    <tableColumn id="4" xr3:uid="{00000000-0010-0000-0D00-000004000000}" name="nett id" dataDxfId="169"/>
    <tableColumn id="5" xr3:uid="{00000000-0010-0000-0D00-000005000000}" name="gateway" dataDxfId="168"/>
    <tableColumn id="6" xr3:uid="{00000000-0010-0000-0D00-000006000000}" name="mask" dataDxfId="167"/>
    <tableColumn id="7" xr3:uid="{00000000-0010-0000-0D00-000007000000}" name="address min" dataDxfId="166"/>
    <tableColumn id="8" xr3:uid="{00000000-0010-0000-0D00-000008000000}" name="address max" dataDxfId="165"/>
    <tableColumn id="9" xr3:uid="{D71A0F4B-8894-49C9-A19A-CB3D67B8C9A4}" name="antall-res" dataDxfId="164" totalsRowDxfId="163"/>
    <tableColumn id="10" xr3:uid="{D72B4B49-342E-4472-A7DB-D9DD906E860B}" name="pri-1-10" dataDxfId="162" totalsRowDxfId="161"/>
  </tableColumns>
  <tableStyleInfo name="Site 4-style 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E000000}" name="Tabell15" displayName="Tabell15" ref="A9:D12" headerRowDxfId="160" dataDxfId="159" totalsRowDxfId="158">
  <tableColumns count="4">
    <tableColumn id="1" xr3:uid="{00000000-0010-0000-0E00-000001000000}" name="vrf" dataDxfId="157"/>
    <tableColumn id="2" xr3:uid="{00000000-0010-0000-0E00-000002000000}" name="rt" dataDxfId="156"/>
    <tableColumn id="3" xr3:uid="{00000000-0010-0000-0E00-000003000000}" name="loopback" dataDxfId="155"/>
    <tableColumn id="4" xr3:uid="{00000000-0010-0000-0E00-000004000000}" name="laddr" dataDxfId="154"/>
  </tableColumns>
  <tableStyleInfo name="Site 4-style 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ell16" displayName="Tabell16" ref="A14:J16" headerRowDxfId="153" dataDxfId="152" totalsRowDxfId="151">
  <tableColumns count="10">
    <tableColumn id="1" xr3:uid="{00000000-0010-0000-0F00-000001000000}" name="tunnel id" dataDxfId="150"/>
    <tableColumn id="2" xr3:uid="{00000000-0010-0000-0F00-000002000000}" name="vrf" dataDxfId="149"/>
    <tableColumn id="3" xr3:uid="{00000000-0010-0000-0F00-000003000000}" name="ip address" dataDxfId="148"/>
    <tableColumn id="4" xr3:uid="{00000000-0010-0000-0F00-000004000000}" name="mask" dataDxfId="147"/>
    <tableColumn id="5" xr3:uid="{00000000-0010-0000-0F00-000005000000}" name="source" dataDxfId="146"/>
    <tableColumn id="6" xr3:uid="{00000000-0010-0000-0F00-000006000000}" name="destination" dataDxfId="145"/>
    <tableColumn id="7" xr3:uid="{00000000-0010-0000-0F00-000007000000}" name="gre mode" dataDxfId="144"/>
    <tableColumn id="8" xr3:uid="{00000000-0010-0000-0F00-000008000000}" name="network-id" dataDxfId="143"/>
    <tableColumn id="9" xr3:uid="{00000000-0010-0000-0F00-000009000000}" name="ipsec" dataDxfId="142"/>
    <tableColumn id="10" xr3:uid="{00000000-0010-0000-0F00-00000A000000}" name="ipsec key" dataDxfId="141"/>
  </tableColumns>
  <tableStyleInfo name="Site 4-style 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695A9C2-9359-41CB-A4EF-DFA29F76A3E9}" name="Tabell13192532" displayName="Tabell13192532" ref="A18:D19" headerRowDxfId="57" dataDxfId="56" totalsRowDxfId="55">
  <tableColumns count="4">
    <tableColumn id="1" xr3:uid="{A768CEE8-BF56-4D6A-83D4-82F1098DDB07}" name="site" dataDxfId="54">
      <calculatedColumnFormula>A2</calculatedColumnFormula>
    </tableColumn>
    <tableColumn id="4" xr3:uid="{E4A06594-3627-4630-BF8E-A6DE5D1C5151}" name="brukernavn" dataDxfId="53"/>
    <tableColumn id="5" xr3:uid="{5E745CD1-323E-4106-8D40-9F118B9C446C}" name="passord" dataDxfId="52"/>
    <tableColumn id="3" xr3:uid="{C6182001-B07F-4A28-8BC6-527FAE1907AA}" name="vty_lines" dataDxfId="50" totalsRowDxfId="51"/>
  </tableColumns>
  <tableStyleInfo name="Site 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C576A67-6736-401E-B98D-50DDAB12E598}" name="Tabell1618242835" displayName="Tabell1618242835" ref="A21:I23" headerRowDxfId="15" dataDxfId="14" totalsRowDxfId="13">
  <tableColumns count="9">
    <tableColumn id="1" xr3:uid="{47A68D7A-7898-476E-8F69-F5874B877D3A}" name="SW" dataDxfId="12"/>
    <tableColumn id="2" xr3:uid="{2C4EF113-0BA5-4B94-86C1-BF3EA80933B9}" name="MGMT Vlan" dataDxfId="11"/>
    <tableColumn id="3" xr3:uid="{7CD1D19F-6546-4724-BCF0-259D1318DC95}" name="MGMT ip" dataDxfId="10">
      <calculatedColumnFormula>LEFT($G$5,LEN($G$5)-1)&amp;(RIGHT($G$5,1)+A22)</calculatedColumnFormula>
    </tableColumn>
    <tableColumn id="4" xr3:uid="{BEE9FFA9-AC02-4EAF-8A5C-8028057779FE}" name="gateway" dataDxfId="9">
      <calculatedColumnFormula>$E$5</calculatedColumnFormula>
    </tableColumn>
    <tableColumn id="5" xr3:uid="{60EDB2B2-4B61-4DAB-85CB-B477DFE0D13D}" name="mask" dataDxfId="8">
      <calculatedColumnFormula>$F$5</calculatedColumnFormula>
    </tableColumn>
    <tableColumn id="6" xr3:uid="{5FCC79B9-65EE-4355-AD88-78B33C36447E}" name="vlan-antall" dataDxfId="6" totalsRowDxfId="7"/>
    <tableColumn id="7" xr3:uid="{1DA7FF18-33BF-44F2-A716-C14868DAA1C4}" name="num_ports" dataDxfId="4" totalsRowDxfId="5"/>
    <tableColumn id="8" xr3:uid="{BCF14666-307A-4086-80D4-4D8C67A39465}" name="intf_prefix" dataDxfId="2" totalsRowDxfId="3"/>
    <tableColumn id="9" xr3:uid="{0890E6EF-1DA5-434F-9A3F-CEDBAC6896EE}" name="num_port_ledig" dataDxfId="0" totalsRowDxfId="1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0"/>
  <sheetViews>
    <sheetView tabSelected="1" workbookViewId="0">
      <pane ySplit="1" topLeftCell="A2" activePane="bottomLeft" state="frozen"/>
      <selection pane="bottomLeft" activeCell="A21" sqref="A21:I23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4" width="23.88671875" customWidth="1"/>
    <col min="5" max="6" width="12.5546875" customWidth="1"/>
    <col min="9" max="9" width="18.44140625" customWidth="1"/>
  </cols>
  <sheetData>
    <row r="1" spans="1:1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5.75" customHeight="1" x14ac:dyDescent="0.25">
      <c r="A2" s="2">
        <v>1</v>
      </c>
      <c r="B2" s="2" t="s">
        <v>6</v>
      </c>
      <c r="C2" s="2" t="str">
        <f>A2&amp;"."&amp;A2&amp;"."&amp;A2&amp;".0"</f>
        <v>1.1.1.0</v>
      </c>
      <c r="D2" s="2" t="s">
        <v>7</v>
      </c>
      <c r="E2" s="2" t="s">
        <v>8</v>
      </c>
      <c r="F2" s="2" t="s">
        <v>9</v>
      </c>
    </row>
    <row r="3" spans="1:10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0" ht="15.75" customHeight="1" x14ac:dyDescent="0.25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5" t="s">
        <v>40</v>
      </c>
      <c r="J4" t="s">
        <v>41</v>
      </c>
    </row>
    <row r="5" spans="1:10" ht="15.75" customHeight="1" x14ac:dyDescent="0.25">
      <c r="A5" s="6" t="s">
        <v>18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19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>
        <v>5</v>
      </c>
    </row>
    <row r="6" spans="1:10" ht="15.75" customHeight="1" x14ac:dyDescent="0.25">
      <c r="A6" s="6" t="s">
        <v>20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19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>
        <v>3</v>
      </c>
    </row>
    <row r="7" spans="1:10" ht="15.75" customHeight="1" x14ac:dyDescent="0.25">
      <c r="A7" s="6" t="s">
        <v>21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19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10</v>
      </c>
    </row>
    <row r="8" spans="1:10" ht="15.75" customHeight="1" x14ac:dyDescent="0.25">
      <c r="A8" s="8"/>
      <c r="B8" s="8"/>
    </row>
    <row r="9" spans="1:10" ht="15.75" customHeight="1" x14ac:dyDescent="0.25">
      <c r="A9" s="5" t="s">
        <v>10</v>
      </c>
      <c r="B9" s="5" t="s">
        <v>22</v>
      </c>
      <c r="C9" s="5" t="s">
        <v>23</v>
      </c>
      <c r="D9" s="5" t="s">
        <v>24</v>
      </c>
    </row>
    <row r="10" spans="1:10" ht="15.75" customHeight="1" x14ac:dyDescent="0.25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1.1.1.10</v>
      </c>
    </row>
    <row r="11" spans="1:10" ht="15.75" customHeight="1" x14ac:dyDescent="0.25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1.1.1.20</v>
      </c>
    </row>
    <row r="12" spans="1:10" ht="15.75" customHeight="1" x14ac:dyDescent="0.25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1.1.1.30</v>
      </c>
    </row>
    <row r="13" spans="1:10" ht="15.75" customHeight="1" x14ac:dyDescent="0.25"/>
    <row r="14" spans="1:10" ht="15.75" customHeight="1" x14ac:dyDescent="0.25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" t="s">
        <v>33</v>
      </c>
      <c r="I14" s="1" t="s">
        <v>34</v>
      </c>
      <c r="J14" s="1" t="s">
        <v>35</v>
      </c>
    </row>
    <row r="15" spans="1:10" ht="15.75" customHeight="1" x14ac:dyDescent="0.25">
      <c r="A15" s="6" t="s">
        <v>36</v>
      </c>
      <c r="B15" s="6" t="s">
        <v>18</v>
      </c>
      <c r="C15" s="6" t="str">
        <f>172&amp;"."&amp;16&amp;"."&amp;0&amp;"."&amp;(H15+A2)</f>
        <v>172.16.0.11</v>
      </c>
      <c r="D15" s="6" t="s">
        <v>37</v>
      </c>
      <c r="E15" s="6" t="str">
        <f>A2&amp;"."&amp;A2&amp;"."&amp;A2&amp;"."&amp;H15</f>
        <v>1.1.1.10</v>
      </c>
      <c r="F15" s="6"/>
      <c r="G15" s="6" t="s">
        <v>38</v>
      </c>
      <c r="H15" s="2">
        <v>10</v>
      </c>
      <c r="I15" s="2" t="b">
        <v>1</v>
      </c>
      <c r="J15" s="2"/>
    </row>
    <row r="16" spans="1:10" ht="15.75" customHeight="1" x14ac:dyDescent="0.25">
      <c r="A16" s="6" t="s">
        <v>39</v>
      </c>
      <c r="B16" s="6" t="s">
        <v>21</v>
      </c>
      <c r="C16" s="6" t="str">
        <f>172&amp;"."&amp;16&amp;"."&amp;0&amp;"."&amp;(H16+A2)</f>
        <v>172.16.0.31</v>
      </c>
      <c r="D16" s="6" t="s">
        <v>37</v>
      </c>
      <c r="E16" s="6" t="str">
        <f>A2&amp;"."&amp;A2&amp;"."&amp;A2&amp;"."&amp;H16</f>
        <v>1.1.1.30</v>
      </c>
      <c r="F16" s="6"/>
      <c r="G16" s="6" t="s">
        <v>38</v>
      </c>
      <c r="H16" s="2">
        <v>30</v>
      </c>
      <c r="I16" s="2" t="b">
        <v>1</v>
      </c>
      <c r="J16" s="2"/>
    </row>
    <row r="17" spans="1:9" ht="15.75" customHeight="1" x14ac:dyDescent="0.25">
      <c r="A17" s="9"/>
      <c r="B17" s="9"/>
      <c r="C17" s="9"/>
      <c r="D17" s="9"/>
      <c r="E17" s="9"/>
      <c r="F17" s="9"/>
      <c r="G17" s="9"/>
    </row>
    <row r="18" spans="1:9" ht="15.75" customHeight="1" x14ac:dyDescent="0.25">
      <c r="A18" s="19" t="s">
        <v>0</v>
      </c>
      <c r="B18" s="19" t="s">
        <v>3</v>
      </c>
      <c r="C18" s="19" t="s">
        <v>4</v>
      </c>
      <c r="D18" s="19" t="s">
        <v>5</v>
      </c>
    </row>
    <row r="19" spans="1:9" ht="15.75" customHeight="1" x14ac:dyDescent="0.25">
      <c r="A19" s="21">
        <f>A2</f>
        <v>1</v>
      </c>
      <c r="B19" s="21" t="s">
        <v>7</v>
      </c>
      <c r="C19" s="21" t="s">
        <v>8</v>
      </c>
      <c r="D19" s="21" t="s">
        <v>9</v>
      </c>
    </row>
    <row r="20" spans="1:9" ht="15.75" customHeight="1" x14ac:dyDescent="0.25"/>
    <row r="21" spans="1:9" ht="15.75" customHeight="1" x14ac:dyDescent="0.25">
      <c r="A21" s="5" t="s">
        <v>42</v>
      </c>
      <c r="B21" s="5" t="s">
        <v>43</v>
      </c>
      <c r="C21" s="5" t="s">
        <v>44</v>
      </c>
      <c r="D21" s="5" t="s">
        <v>14</v>
      </c>
      <c r="E21" s="5" t="s">
        <v>15</v>
      </c>
      <c r="F21" s="5" t="s">
        <v>45</v>
      </c>
      <c r="G21" s="19" t="s">
        <v>46</v>
      </c>
      <c r="H21" s="19" t="s">
        <v>1</v>
      </c>
      <c r="I21" s="19" t="s">
        <v>51</v>
      </c>
    </row>
    <row r="22" spans="1:9" ht="15.75" customHeight="1" x14ac:dyDescent="0.25">
      <c r="A22" s="6">
        <v>1</v>
      </c>
      <c r="B22" s="6">
        <v>10</v>
      </c>
      <c r="C22" s="6" t="str">
        <f t="shared" ref="C22:C23" si="2">LEFT($G$5,LEN($G$5)-1)&amp;(RIGHT($G$5,1)+A22)</f>
        <v>10.11.0.2</v>
      </c>
      <c r="D22" s="6" t="str">
        <f t="shared" ref="D22:D23" si="3">$E$5</f>
        <v>10.11.0.1</v>
      </c>
      <c r="E22" s="6" t="str">
        <f t="shared" ref="E22:E23" si="4">$F$5</f>
        <v>255.255.0.0</v>
      </c>
      <c r="F22" s="6" t="s">
        <v>49</v>
      </c>
      <c r="G22" s="21">
        <v>22</v>
      </c>
      <c r="H22" s="21" t="s">
        <v>47</v>
      </c>
      <c r="I22" s="21">
        <f t="shared" ref="I22:I23" si="5">$G22-3</f>
        <v>19</v>
      </c>
    </row>
    <row r="23" spans="1:9" ht="15.75" customHeight="1" x14ac:dyDescent="0.25">
      <c r="A23" s="6">
        <v>2</v>
      </c>
      <c r="B23" s="6">
        <v>10</v>
      </c>
      <c r="C23" s="6" t="str">
        <f t="shared" si="2"/>
        <v>10.11.0.3</v>
      </c>
      <c r="D23" s="6" t="str">
        <f t="shared" si="3"/>
        <v>10.11.0.1</v>
      </c>
      <c r="E23" s="6" t="str">
        <f t="shared" si="4"/>
        <v>255.255.0.0</v>
      </c>
      <c r="F23" s="6" t="s">
        <v>50</v>
      </c>
      <c r="G23" s="20">
        <v>22</v>
      </c>
      <c r="H23" s="20" t="s">
        <v>48</v>
      </c>
      <c r="I23" s="20">
        <f>$G23-3</f>
        <v>19</v>
      </c>
    </row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6" type="noConversion"/>
  <dataValidations count="1">
    <dataValidation type="custom" allowBlank="1" showInputMessage="1" showErrorMessage="1" sqref="F22:F23" xr:uid="{E30D0828-D6F0-4F57-98C2-21AEB5B698E8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994"/>
  <sheetViews>
    <sheetView workbookViewId="0">
      <pane ySplit="1" topLeftCell="A2" activePane="bottomLeft" state="frozen"/>
      <selection pane="bottomLeft" activeCell="H25" sqref="H25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3" width="12.5546875" customWidth="1"/>
    <col min="4" max="4" width="14.5546875" customWidth="1"/>
    <col min="5" max="6" width="12.5546875" customWidth="1"/>
    <col min="8" max="8" width="14.88671875" customWidth="1"/>
  </cols>
  <sheetData>
    <row r="1" spans="1:1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5.75" customHeight="1" x14ac:dyDescent="0.25">
      <c r="A2" s="2">
        <v>2</v>
      </c>
      <c r="B2" s="2" t="s">
        <v>6</v>
      </c>
      <c r="C2" s="2" t="str">
        <f>A2&amp;"."&amp;A2&amp;"."&amp;A2&amp;".0"</f>
        <v>2.2.2.0</v>
      </c>
      <c r="D2" s="2" t="s">
        <v>7</v>
      </c>
      <c r="E2" s="2" t="s">
        <v>8</v>
      </c>
      <c r="F2" s="2" t="s">
        <v>9</v>
      </c>
    </row>
    <row r="3" spans="1:10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0" ht="15.75" customHeight="1" x14ac:dyDescent="0.25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5" t="s">
        <v>40</v>
      </c>
      <c r="J4" t="s">
        <v>41</v>
      </c>
    </row>
    <row r="5" spans="1:10" ht="15.75" customHeight="1" x14ac:dyDescent="0.25">
      <c r="A5" s="6" t="s">
        <v>18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19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>
        <v>5</v>
      </c>
    </row>
    <row r="6" spans="1:10" ht="15.75" customHeight="1" x14ac:dyDescent="0.25">
      <c r="A6" s="6" t="s">
        <v>20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19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>
        <v>3</v>
      </c>
    </row>
    <row r="7" spans="1:10" ht="15.75" customHeight="1" x14ac:dyDescent="0.25">
      <c r="A7" s="6" t="s">
        <v>21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19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10</v>
      </c>
    </row>
    <row r="8" spans="1:10" ht="15.75" customHeight="1" x14ac:dyDescent="0.25">
      <c r="A8" s="8"/>
      <c r="B8" s="8"/>
    </row>
    <row r="9" spans="1:10" ht="15.75" customHeight="1" x14ac:dyDescent="0.25">
      <c r="A9" s="5" t="s">
        <v>10</v>
      </c>
      <c r="B9" s="5" t="s">
        <v>22</v>
      </c>
      <c r="C9" s="5" t="s">
        <v>23</v>
      </c>
      <c r="D9" s="5" t="s">
        <v>24</v>
      </c>
    </row>
    <row r="10" spans="1:10" ht="15.75" customHeight="1" x14ac:dyDescent="0.25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2.2.2.10</v>
      </c>
    </row>
    <row r="11" spans="1:10" ht="15.75" customHeight="1" x14ac:dyDescent="0.25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2.2.2.20</v>
      </c>
    </row>
    <row r="12" spans="1:10" ht="15.75" customHeight="1" x14ac:dyDescent="0.25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2.2.2.30</v>
      </c>
    </row>
    <row r="13" spans="1:10" ht="15.75" customHeight="1" x14ac:dyDescent="0.25"/>
    <row r="14" spans="1:10" ht="15.75" customHeight="1" x14ac:dyDescent="0.25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" t="s">
        <v>33</v>
      </c>
      <c r="I14" s="1" t="s">
        <v>34</v>
      </c>
      <c r="J14" s="1" t="s">
        <v>35</v>
      </c>
    </row>
    <row r="15" spans="1:10" ht="15.75" customHeight="1" x14ac:dyDescent="0.25">
      <c r="A15" s="6" t="s">
        <v>36</v>
      </c>
      <c r="B15" s="6" t="s">
        <v>18</v>
      </c>
      <c r="C15" s="6" t="str">
        <f>172&amp;"."&amp;16&amp;"."&amp;0&amp;"."&amp;(H15+A2)</f>
        <v>172.16.0.12</v>
      </c>
      <c r="D15" s="6" t="s">
        <v>37</v>
      </c>
      <c r="E15" s="6" t="str">
        <f>A2&amp;"."&amp;A2&amp;"."&amp;A2&amp;"."&amp;H15</f>
        <v>2.2.2.10</v>
      </c>
      <c r="F15" s="6"/>
      <c r="G15" s="6" t="s">
        <v>38</v>
      </c>
      <c r="H15" s="2">
        <v>10</v>
      </c>
      <c r="I15" s="2" t="b">
        <f t="array" ref="I15">_xlfn.XLOOKUP(1,( 'Site 1 (HUB)'!A:A=A15 )*( 'Site 1 (HUB)'!B:B=B15 ),'Site 1 (HUB)'!I:I)</f>
        <v>1</v>
      </c>
      <c r="J15" s="2"/>
    </row>
    <row r="16" spans="1:10" ht="15.75" customHeight="1" x14ac:dyDescent="0.25">
      <c r="A16" s="6" t="s">
        <v>39</v>
      </c>
      <c r="B16" s="6" t="s">
        <v>21</v>
      </c>
      <c r="C16" s="6" t="str">
        <f>172&amp;"."&amp;16&amp;"."&amp;0&amp;"."&amp;(H16+A2)</f>
        <v>172.16.0.32</v>
      </c>
      <c r="D16" s="6" t="s">
        <v>37</v>
      </c>
      <c r="E16" s="6" t="str">
        <f>A2&amp;"."&amp;A2&amp;"."&amp;A2&amp;"."&amp;H16</f>
        <v>2.2.2.30</v>
      </c>
      <c r="F16" s="6"/>
      <c r="G16" s="6" t="s">
        <v>38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5"/>
    <row r="18" spans="1:9" ht="15.75" customHeight="1" x14ac:dyDescent="0.25">
      <c r="A18" s="19" t="s">
        <v>0</v>
      </c>
      <c r="B18" s="19" t="s">
        <v>3</v>
      </c>
      <c r="C18" s="19" t="s">
        <v>4</v>
      </c>
      <c r="D18" s="19" t="s">
        <v>5</v>
      </c>
    </row>
    <row r="19" spans="1:9" ht="15.75" customHeight="1" x14ac:dyDescent="0.25">
      <c r="A19" s="21">
        <f>A2</f>
        <v>2</v>
      </c>
      <c r="B19" s="21" t="s">
        <v>7</v>
      </c>
      <c r="C19" s="21" t="s">
        <v>8</v>
      </c>
      <c r="D19" s="21" t="s">
        <v>9</v>
      </c>
    </row>
    <row r="20" spans="1:9" ht="15.75" customHeight="1" x14ac:dyDescent="0.25"/>
    <row r="21" spans="1:9" ht="15.75" customHeight="1" x14ac:dyDescent="0.25">
      <c r="A21" s="5" t="s">
        <v>42</v>
      </c>
      <c r="B21" s="5" t="s">
        <v>43</v>
      </c>
      <c r="C21" s="5" t="s">
        <v>44</v>
      </c>
      <c r="D21" s="5" t="s">
        <v>14</v>
      </c>
      <c r="E21" s="5" t="s">
        <v>15</v>
      </c>
      <c r="F21" s="5" t="s">
        <v>45</v>
      </c>
      <c r="G21" s="19" t="s">
        <v>46</v>
      </c>
      <c r="H21" s="19" t="s">
        <v>1</v>
      </c>
      <c r="I21" s="19" t="s">
        <v>51</v>
      </c>
    </row>
    <row r="22" spans="1:9" ht="15.75" customHeight="1" x14ac:dyDescent="0.25">
      <c r="A22" s="6">
        <v>1</v>
      </c>
      <c r="B22" s="6">
        <v>10</v>
      </c>
      <c r="C22" s="6" t="str">
        <f t="shared" ref="C22:C23" si="2">LEFT($G$5,LEN($G$5)-1)&amp;(RIGHT($G$5,1)+A22)</f>
        <v>10.12.0.2</v>
      </c>
      <c r="D22" s="6" t="str">
        <f t="shared" ref="D22:D23" si="3">$E$5</f>
        <v>10.12.0.1</v>
      </c>
      <c r="E22" s="6" t="str">
        <f t="shared" ref="E22:E23" si="4">$F$5</f>
        <v>255.255.0.0</v>
      </c>
      <c r="F22" s="6" t="s">
        <v>49</v>
      </c>
      <c r="G22" s="21">
        <v>22</v>
      </c>
      <c r="H22" s="21" t="s">
        <v>47</v>
      </c>
      <c r="I22" s="21">
        <f t="shared" ref="I22:I23" si="5">$G22-3</f>
        <v>19</v>
      </c>
    </row>
    <row r="23" spans="1:9" ht="15.75" customHeight="1" x14ac:dyDescent="0.25">
      <c r="A23" s="6">
        <v>2</v>
      </c>
      <c r="B23" s="6">
        <v>10</v>
      </c>
      <c r="C23" s="6" t="str">
        <f t="shared" si="2"/>
        <v>10.12.0.3</v>
      </c>
      <c r="D23" s="6" t="str">
        <f t="shared" si="3"/>
        <v>10.12.0.1</v>
      </c>
      <c r="E23" s="6" t="str">
        <f t="shared" si="4"/>
        <v>255.255.0.0</v>
      </c>
      <c r="F23" s="6" t="s">
        <v>50</v>
      </c>
      <c r="G23" s="20">
        <v>22</v>
      </c>
      <c r="H23" s="20" t="s">
        <v>48</v>
      </c>
      <c r="I23" s="20">
        <f>$G23-3</f>
        <v>19</v>
      </c>
    </row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dataValidations count="1">
    <dataValidation type="custom" allowBlank="1" showInputMessage="1" showErrorMessage="1" sqref="F22:F23" xr:uid="{25CC9412-61D9-442A-A712-97FD5AA60B1F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topLeftCell="A4" workbookViewId="0">
      <selection activeCell="H26" sqref="H26"/>
    </sheetView>
  </sheetViews>
  <sheetFormatPr defaultColWidth="12.5546875" defaultRowHeight="15" customHeight="1" x14ac:dyDescent="0.25"/>
  <cols>
    <col min="1" max="5" width="12.5546875" customWidth="1"/>
    <col min="6" max="6" width="14.6640625" customWidth="1"/>
  </cols>
  <sheetData>
    <row r="1" spans="1:11" ht="15.75" customHeigh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/>
      <c r="H1" s="11"/>
      <c r="I1" s="11"/>
      <c r="J1" s="11"/>
      <c r="K1" s="11"/>
    </row>
    <row r="2" spans="1:11" ht="15.75" customHeight="1" x14ac:dyDescent="0.25">
      <c r="A2" s="12">
        <v>3</v>
      </c>
      <c r="B2" s="12" t="s">
        <v>6</v>
      </c>
      <c r="C2" s="12" t="str">
        <f>A2&amp;"."&amp;A2&amp;"."&amp;A2&amp;".0"</f>
        <v>3.3.3.0</v>
      </c>
      <c r="D2" s="12" t="s">
        <v>7</v>
      </c>
      <c r="E2" s="12" t="s">
        <v>8</v>
      </c>
      <c r="F2" s="12" t="s">
        <v>9</v>
      </c>
      <c r="G2" s="11"/>
      <c r="H2" s="11"/>
      <c r="I2" s="11"/>
      <c r="J2" s="11"/>
      <c r="K2" s="11"/>
    </row>
    <row r="3" spans="1:11" ht="15.75" customHeight="1" x14ac:dyDescent="0.25">
      <c r="A3" s="13"/>
      <c r="B3" s="14"/>
      <c r="C3" s="13"/>
      <c r="D3" s="13"/>
      <c r="E3" s="13"/>
      <c r="F3" s="13"/>
      <c r="G3" s="13"/>
      <c r="H3" s="13"/>
      <c r="I3" s="11"/>
      <c r="J3" s="11"/>
      <c r="K3" s="11"/>
    </row>
    <row r="4" spans="1:11" ht="15.75" customHeight="1" x14ac:dyDescent="0.25">
      <c r="A4" s="15" t="s">
        <v>10</v>
      </c>
      <c r="B4" s="15" t="s">
        <v>11</v>
      </c>
      <c r="C4" s="15" t="s">
        <v>12</v>
      </c>
      <c r="D4" s="15" t="s">
        <v>13</v>
      </c>
      <c r="E4" s="15" t="s">
        <v>14</v>
      </c>
      <c r="F4" s="15" t="s">
        <v>15</v>
      </c>
      <c r="G4" s="15" t="s">
        <v>16</v>
      </c>
      <c r="H4" s="15" t="s">
        <v>17</v>
      </c>
      <c r="I4" s="15" t="s">
        <v>40</v>
      </c>
      <c r="J4" s="11" t="s">
        <v>41</v>
      </c>
      <c r="K4" s="11"/>
    </row>
    <row r="5" spans="1:11" ht="15.75" customHeight="1" x14ac:dyDescent="0.25">
      <c r="A5" s="16" t="s">
        <v>18</v>
      </c>
      <c r="B5" s="17">
        <v>10</v>
      </c>
      <c r="C5" s="16">
        <v>0</v>
      </c>
      <c r="D5" s="16" t="str">
        <f>10&amp;"."&amp;(B5+A2)&amp;"."&amp;0&amp;"."&amp;0</f>
        <v>10.13.0.0</v>
      </c>
      <c r="E5" s="16" t="str">
        <f t="shared" ref="E5:E7" si="0">LEFT(D5,LEN(D5)-1)&amp;"1"</f>
        <v>10.13.0.1</v>
      </c>
      <c r="F5" s="16" t="s">
        <v>19</v>
      </c>
      <c r="G5" s="16" t="str">
        <f t="shared" ref="G5:G7" si="1">LEFT(D5,LEN(D5)-1)&amp;"1"</f>
        <v>10.13.0.1</v>
      </c>
      <c r="H5" s="16" t="str">
        <f ca="1">IFERROR(__xludf.DUMMYFUNCTION("REGEXREPLACE(D5,""\.[0-9]+\.[0-9]+$"","".255.254"")"),"10.13.255.254")</f>
        <v>10.13.255.254</v>
      </c>
      <c r="I5" s="16">
        <v>10</v>
      </c>
      <c r="J5" s="11">
        <v>5</v>
      </c>
      <c r="K5" s="11"/>
    </row>
    <row r="6" spans="1:11" ht="15.75" customHeight="1" x14ac:dyDescent="0.25">
      <c r="A6" s="16" t="s">
        <v>20</v>
      </c>
      <c r="B6" s="17">
        <v>20</v>
      </c>
      <c r="C6" s="16">
        <v>0</v>
      </c>
      <c r="D6" s="16" t="str">
        <f>10&amp;"."&amp;(B6+A2)&amp;"."&amp;0&amp;"."&amp;0</f>
        <v>10.23.0.0</v>
      </c>
      <c r="E6" s="16" t="str">
        <f t="shared" si="0"/>
        <v>10.23.0.1</v>
      </c>
      <c r="F6" s="16" t="s">
        <v>19</v>
      </c>
      <c r="G6" s="16" t="str">
        <f t="shared" si="1"/>
        <v>10.23.0.1</v>
      </c>
      <c r="H6" s="16" t="str">
        <f ca="1">IFERROR(__xludf.DUMMYFUNCTION("REGEXREPLACE(D6,""\.[0-9]+\.[0-9]+$"","".255.254"")"),"10.23.255.254")</f>
        <v>10.23.255.254</v>
      </c>
      <c r="I6" s="16">
        <v>10</v>
      </c>
      <c r="J6" s="11">
        <v>3</v>
      </c>
      <c r="K6" s="11"/>
    </row>
    <row r="7" spans="1:11" ht="15.75" customHeight="1" x14ac:dyDescent="0.25">
      <c r="A7" s="16" t="s">
        <v>21</v>
      </c>
      <c r="B7" s="17">
        <v>30</v>
      </c>
      <c r="C7" s="16">
        <v>0</v>
      </c>
      <c r="D7" s="16" t="str">
        <f>10&amp;"."&amp;(B7+A2)&amp;"."&amp;0&amp;"."&amp;0</f>
        <v>10.33.0.0</v>
      </c>
      <c r="E7" s="16" t="str">
        <f t="shared" si="0"/>
        <v>10.33.0.1</v>
      </c>
      <c r="F7" s="16" t="s">
        <v>19</v>
      </c>
      <c r="G7" s="16" t="str">
        <f t="shared" si="1"/>
        <v>10.33.0.1</v>
      </c>
      <c r="H7" s="16" t="str">
        <f ca="1">IFERROR(__xludf.DUMMYFUNCTION("REGEXREPLACE(D7,""\.[0-9]+\.[0-9]+$"","".255.254"")"),"10.33.255.254")</f>
        <v>10.33.255.254</v>
      </c>
      <c r="I7" s="16">
        <v>10</v>
      </c>
      <c r="J7" s="11">
        <v>10</v>
      </c>
      <c r="K7" s="11"/>
    </row>
    <row r="8" spans="1:11" ht="15.75" customHeight="1" x14ac:dyDescent="0.25">
      <c r="A8" s="18"/>
      <c r="B8" s="18"/>
      <c r="C8" s="11"/>
      <c r="D8" s="11"/>
      <c r="E8" s="11"/>
      <c r="F8" s="11"/>
      <c r="G8" s="11"/>
      <c r="H8" s="11"/>
      <c r="I8" s="11"/>
      <c r="J8" s="11"/>
      <c r="K8" s="11"/>
    </row>
    <row r="9" spans="1:11" ht="15.75" customHeight="1" x14ac:dyDescent="0.25">
      <c r="A9" s="15" t="s">
        <v>10</v>
      </c>
      <c r="B9" s="15" t="s">
        <v>22</v>
      </c>
      <c r="C9" s="15" t="s">
        <v>23</v>
      </c>
      <c r="D9" s="15" t="s">
        <v>24</v>
      </c>
      <c r="E9" s="11"/>
      <c r="F9" s="11"/>
      <c r="G9" s="11"/>
      <c r="H9" s="11"/>
      <c r="I9" s="11"/>
      <c r="J9" s="11"/>
      <c r="K9" s="11"/>
    </row>
    <row r="10" spans="1:11" ht="15.75" customHeight="1" x14ac:dyDescent="0.25">
      <c r="A10" s="16" t="s">
        <v>18</v>
      </c>
      <c r="B10" s="17" t="s">
        <v>25</v>
      </c>
      <c r="C10" s="16">
        <v>10</v>
      </c>
      <c r="D10" s="16" t="str">
        <f>A2&amp;"."&amp;A2&amp;"."&amp;A2&amp;"."&amp;(C10)</f>
        <v>3.3.3.10</v>
      </c>
      <c r="E10" s="11"/>
      <c r="F10" s="11"/>
      <c r="G10" s="11"/>
      <c r="H10" s="11"/>
      <c r="I10" s="11"/>
      <c r="J10" s="11"/>
      <c r="K10" s="11"/>
    </row>
    <row r="11" spans="1:11" ht="15.75" customHeight="1" x14ac:dyDescent="0.25">
      <c r="A11" s="16" t="s">
        <v>20</v>
      </c>
      <c r="B11" s="17" t="s">
        <v>26</v>
      </c>
      <c r="C11" s="16">
        <v>20</v>
      </c>
      <c r="D11" s="16" t="str">
        <f>A2&amp;"."&amp;A2&amp;"."&amp;A2&amp;"."&amp;(C11)</f>
        <v>3.3.3.20</v>
      </c>
      <c r="E11" s="11"/>
      <c r="F11" s="11"/>
      <c r="G11" s="11"/>
      <c r="H11" s="11"/>
      <c r="I11" s="11"/>
      <c r="J11" s="11"/>
      <c r="K11" s="11"/>
    </row>
    <row r="12" spans="1:11" ht="15.75" customHeight="1" x14ac:dyDescent="0.25">
      <c r="A12" s="16" t="s">
        <v>21</v>
      </c>
      <c r="B12" s="17" t="s">
        <v>27</v>
      </c>
      <c r="C12" s="16">
        <v>30</v>
      </c>
      <c r="D12" s="16" t="str">
        <f>A2&amp;"."&amp;A2&amp;"."&amp;A2&amp;"."&amp;(C12)</f>
        <v>3.3.3.30</v>
      </c>
      <c r="E12" s="11"/>
      <c r="F12" s="11"/>
      <c r="G12" s="11"/>
      <c r="H12" s="11"/>
      <c r="I12" s="11"/>
      <c r="J12" s="11"/>
      <c r="K12" s="11"/>
    </row>
    <row r="13" spans="1:11" ht="15.75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spans="1:11" ht="15.75" customHeight="1" x14ac:dyDescent="0.25">
      <c r="A14" s="15" t="s">
        <v>28</v>
      </c>
      <c r="B14" s="15" t="s">
        <v>10</v>
      </c>
      <c r="C14" s="15" t="s">
        <v>29</v>
      </c>
      <c r="D14" s="15" t="s">
        <v>15</v>
      </c>
      <c r="E14" s="15" t="s">
        <v>30</v>
      </c>
      <c r="F14" s="15" t="s">
        <v>31</v>
      </c>
      <c r="G14" s="15" t="s">
        <v>32</v>
      </c>
      <c r="H14" s="10" t="s">
        <v>33</v>
      </c>
      <c r="I14" s="10" t="s">
        <v>34</v>
      </c>
      <c r="J14" s="10" t="s">
        <v>35</v>
      </c>
      <c r="K14" s="11"/>
    </row>
    <row r="15" spans="1:11" ht="15.75" customHeight="1" x14ac:dyDescent="0.25">
      <c r="A15" s="16" t="s">
        <v>36</v>
      </c>
      <c r="B15" s="16" t="s">
        <v>18</v>
      </c>
      <c r="C15" s="16" t="str">
        <f>172&amp;"."&amp;16&amp;"."&amp;0&amp;"."&amp;(H15+A2)</f>
        <v>172.16.0.13</v>
      </c>
      <c r="D15" s="16" t="s">
        <v>37</v>
      </c>
      <c r="E15" s="16" t="str">
        <f>A2&amp;"."&amp;A2&amp;"."&amp;A2&amp;"."&amp;H15</f>
        <v>3.3.3.10</v>
      </c>
      <c r="F15" s="16"/>
      <c r="G15" s="16" t="s">
        <v>38</v>
      </c>
      <c r="H15" s="12">
        <v>10</v>
      </c>
      <c r="I15" s="12" t="b">
        <f t="array" ref="I15">_xlfn.XLOOKUP(1,( 'Site 1 (HUB)'!A:A=A15 )*( 'Site 1 (HUB)'!B:B=B15 ),'Site 1 (HUB)'!I:I)</f>
        <v>1</v>
      </c>
      <c r="J15" s="12"/>
      <c r="K15" s="11"/>
    </row>
    <row r="16" spans="1:11" ht="15.75" customHeight="1" x14ac:dyDescent="0.25">
      <c r="A16" s="16" t="s">
        <v>39</v>
      </c>
      <c r="B16" s="16" t="s">
        <v>21</v>
      </c>
      <c r="C16" s="16" t="str">
        <f>172&amp;"."&amp;16&amp;"."&amp;0&amp;"."&amp;(H16+A2)</f>
        <v>172.16.0.33</v>
      </c>
      <c r="D16" s="16" t="s">
        <v>37</v>
      </c>
      <c r="E16" s="16" t="str">
        <f>A2&amp;"."&amp;A2&amp;"."&amp;A2&amp;"."&amp;H16</f>
        <v>3.3.3.30</v>
      </c>
      <c r="F16" s="16"/>
      <c r="G16" s="16" t="s">
        <v>38</v>
      </c>
      <c r="H16" s="12">
        <v>30</v>
      </c>
      <c r="I16" s="12" t="b">
        <f t="array" ref="I16">_xlfn.XLOOKUP(1,( 'Site 1 (HUB)'!A:A=A16 )*( 'Site 1 (HUB)'!B:B=B16 ),'Site 1 (HUB)'!I:I)</f>
        <v>1</v>
      </c>
      <c r="J16" s="12"/>
      <c r="K16" s="11"/>
    </row>
    <row r="17" spans="1:11" ht="15.75" customHeight="1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spans="1:11" ht="15.75" customHeight="1" x14ac:dyDescent="0.25">
      <c r="A18" s="19" t="s">
        <v>0</v>
      </c>
      <c r="B18" s="19" t="s">
        <v>3</v>
      </c>
      <c r="C18" s="19" t="s">
        <v>4</v>
      </c>
      <c r="D18" s="19" t="s">
        <v>5</v>
      </c>
    </row>
    <row r="19" spans="1:11" ht="15.75" customHeight="1" x14ac:dyDescent="0.25">
      <c r="A19" s="21">
        <f>A2</f>
        <v>3</v>
      </c>
      <c r="B19" s="21" t="s">
        <v>7</v>
      </c>
      <c r="C19" s="21" t="s">
        <v>8</v>
      </c>
      <c r="D19" s="21" t="s">
        <v>9</v>
      </c>
    </row>
    <row r="20" spans="1:11" ht="15.75" customHeight="1" x14ac:dyDescent="0.25"/>
    <row r="21" spans="1:11" ht="15.75" customHeight="1" x14ac:dyDescent="0.25">
      <c r="A21" s="5" t="s">
        <v>42</v>
      </c>
      <c r="B21" s="5" t="s">
        <v>43</v>
      </c>
      <c r="C21" s="5" t="s">
        <v>44</v>
      </c>
      <c r="D21" s="5" t="s">
        <v>14</v>
      </c>
      <c r="E21" s="5" t="s">
        <v>15</v>
      </c>
      <c r="F21" s="5" t="s">
        <v>45</v>
      </c>
      <c r="G21" s="19" t="s">
        <v>46</v>
      </c>
      <c r="H21" s="19" t="s">
        <v>1</v>
      </c>
      <c r="I21" s="19" t="s">
        <v>51</v>
      </c>
    </row>
    <row r="22" spans="1:11" ht="58.8" customHeight="1" x14ac:dyDescent="0.25">
      <c r="A22" s="6">
        <v>1</v>
      </c>
      <c r="B22" s="6">
        <v>10</v>
      </c>
      <c r="C22" s="6" t="str">
        <f t="shared" ref="C22:C23" si="2">LEFT($G$5,LEN($G$5)-1)&amp;(RIGHT($G$5,1)+A22)</f>
        <v>10.13.0.2</v>
      </c>
      <c r="D22" s="6" t="str">
        <f t="shared" ref="D22:D23" si="3">$E$5</f>
        <v>10.13.0.1</v>
      </c>
      <c r="E22" s="6" t="str">
        <f t="shared" ref="E22:E23" si="4">$F$5</f>
        <v>255.255.0.0</v>
      </c>
      <c r="F22" s="6" t="s">
        <v>49</v>
      </c>
      <c r="G22" s="21">
        <v>22</v>
      </c>
      <c r="H22" s="21" t="s">
        <v>47</v>
      </c>
      <c r="I22" s="21">
        <f t="shared" ref="I22:I23" si="5">$G22-3</f>
        <v>19</v>
      </c>
    </row>
    <row r="23" spans="1:11" ht="15.75" customHeight="1" x14ac:dyDescent="0.25">
      <c r="A23" s="6">
        <v>2</v>
      </c>
      <c r="B23" s="6">
        <v>10</v>
      </c>
      <c r="C23" s="6" t="str">
        <f t="shared" si="2"/>
        <v>10.13.0.3</v>
      </c>
      <c r="D23" s="6" t="str">
        <f t="shared" si="3"/>
        <v>10.13.0.1</v>
      </c>
      <c r="E23" s="6" t="str">
        <f t="shared" si="4"/>
        <v>255.255.0.0</v>
      </c>
      <c r="F23" s="6" t="s">
        <v>50</v>
      </c>
      <c r="G23" s="20">
        <v>22</v>
      </c>
      <c r="H23" s="20" t="s">
        <v>48</v>
      </c>
      <c r="I23" s="20">
        <f>$G23-3</f>
        <v>19</v>
      </c>
    </row>
    <row r="24" spans="1:11" ht="15.75" customHeight="1" x14ac:dyDescent="0.25"/>
    <row r="25" spans="1:11" ht="15.75" customHeight="1" x14ac:dyDescent="0.25"/>
    <row r="26" spans="1:11" ht="15.75" customHeight="1" x14ac:dyDescent="0.25"/>
    <row r="27" spans="1:11" ht="15.75" customHeight="1" x14ac:dyDescent="0.25"/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6" type="noConversion"/>
  <dataValidations count="1">
    <dataValidation type="custom" allowBlank="1" showInputMessage="1" showErrorMessage="1" sqref="F22:F23" xr:uid="{4B7CCA89-62D1-4A6E-ABBB-604F5B44C29E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1"/>
  <sheetViews>
    <sheetView workbookViewId="0">
      <selection activeCell="H12" sqref="H12"/>
    </sheetView>
  </sheetViews>
  <sheetFormatPr defaultColWidth="12.5546875" defaultRowHeight="15" customHeight="1" x14ac:dyDescent="0.25"/>
  <cols>
    <col min="1" max="1" width="8.5546875" customWidth="1"/>
    <col min="2" max="2" width="19.77734375" customWidth="1"/>
    <col min="3" max="3" width="15" customWidth="1"/>
    <col min="4" max="4" width="25" customWidth="1"/>
    <col min="5" max="5" width="15.109375" customWidth="1"/>
    <col min="6" max="6" width="21.6640625" customWidth="1"/>
    <col min="7" max="7" width="17.5546875" customWidth="1"/>
    <col min="8" max="8" width="14.5546875" customWidth="1"/>
    <col min="9" max="9" width="13.44140625" customWidth="1"/>
    <col min="10" max="10" width="14.5546875" customWidth="1"/>
    <col min="11" max="26" width="8.5546875" customWidth="1"/>
  </cols>
  <sheetData>
    <row r="1" spans="1:10" ht="12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20"/>
      <c r="H1" s="20"/>
      <c r="I1" s="20"/>
      <c r="J1" s="20"/>
    </row>
    <row r="2" spans="1:10" ht="12.75" customHeight="1" x14ac:dyDescent="0.25">
      <c r="A2" s="21">
        <v>4</v>
      </c>
      <c r="B2" s="21" t="s">
        <v>6</v>
      </c>
      <c r="C2" s="21" t="str">
        <f>A2&amp;"."&amp;A2&amp;"."&amp;A2&amp;".0"</f>
        <v>4.4.4.0</v>
      </c>
      <c r="D2" s="21" t="s">
        <v>7</v>
      </c>
      <c r="E2" s="21" t="s">
        <v>8</v>
      </c>
      <c r="F2" s="21" t="s">
        <v>9</v>
      </c>
      <c r="G2" s="20"/>
      <c r="H2" s="20"/>
      <c r="I2" s="20"/>
      <c r="J2" s="20"/>
    </row>
    <row r="3" spans="1:10" ht="12.75" customHeight="1" x14ac:dyDescent="0.25">
      <c r="A3" s="3"/>
      <c r="B3" s="4"/>
      <c r="C3" s="3"/>
      <c r="D3" s="3"/>
      <c r="E3" s="3"/>
      <c r="F3" s="3"/>
      <c r="G3" s="3"/>
      <c r="H3" s="3"/>
      <c r="I3" s="20"/>
      <c r="J3" s="20"/>
    </row>
    <row r="4" spans="1:10" ht="12.75" customHeight="1" x14ac:dyDescent="0.25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5" t="s">
        <v>40</v>
      </c>
      <c r="J4" s="20" t="s">
        <v>41</v>
      </c>
    </row>
    <row r="5" spans="1:10" ht="12.75" customHeight="1" x14ac:dyDescent="0.25">
      <c r="A5" s="6" t="s">
        <v>18</v>
      </c>
      <c r="B5" s="7">
        <v>10</v>
      </c>
      <c r="C5" s="6">
        <v>0</v>
      </c>
      <c r="D5" s="6" t="str">
        <f>10&amp;"."&amp;(B5+A2)&amp;"."&amp;0&amp;"."&amp;0</f>
        <v>10.14.0.0</v>
      </c>
      <c r="E5" s="6" t="str">
        <f t="shared" ref="E5:E7" si="0">LEFT(D5,LEN(D5)-1)&amp;"1"</f>
        <v>10.14.0.1</v>
      </c>
      <c r="F5" s="6" t="s">
        <v>19</v>
      </c>
      <c r="G5" s="6" t="str">
        <f t="shared" ref="G5:G7" si="1">LEFT(D5,LEN(D5)-1)&amp;"1"</f>
        <v>10.14.0.1</v>
      </c>
      <c r="H5" s="6" t="str">
        <f ca="1">IFERROR(__xludf.DUMMYFUNCTION("REGEXREPLACE(D5,""\.[0-9]+\.[0-9]+$"","".255.254"")"),"10.14.255.254")</f>
        <v>10.14.255.254</v>
      </c>
      <c r="I5" s="6">
        <v>10</v>
      </c>
      <c r="J5" s="20">
        <v>5</v>
      </c>
    </row>
    <row r="6" spans="1:10" ht="12.75" customHeight="1" x14ac:dyDescent="0.25">
      <c r="A6" s="6" t="s">
        <v>20</v>
      </c>
      <c r="B6" s="7">
        <v>20</v>
      </c>
      <c r="C6" s="6">
        <v>0</v>
      </c>
      <c r="D6" s="6" t="str">
        <f>10&amp;"."&amp;(B6+A2)&amp;"."&amp;0&amp;"."&amp;0</f>
        <v>10.24.0.0</v>
      </c>
      <c r="E6" s="6" t="str">
        <f t="shared" si="0"/>
        <v>10.24.0.1</v>
      </c>
      <c r="F6" s="6" t="s">
        <v>19</v>
      </c>
      <c r="G6" s="6" t="str">
        <f t="shared" si="1"/>
        <v>10.24.0.1</v>
      </c>
      <c r="H6" s="6" t="str">
        <f ca="1">IFERROR(__xludf.DUMMYFUNCTION("REGEXREPLACE(D6,""\.[0-9]+\.[0-9]+$"","".255.254"")"),"10.24.255.254")</f>
        <v>10.24.255.254</v>
      </c>
      <c r="I6" s="6">
        <v>10</v>
      </c>
      <c r="J6" s="20">
        <v>3</v>
      </c>
    </row>
    <row r="7" spans="1:10" ht="12.75" customHeight="1" x14ac:dyDescent="0.25">
      <c r="A7" s="6" t="s">
        <v>21</v>
      </c>
      <c r="B7" s="7">
        <v>30</v>
      </c>
      <c r="C7" s="6">
        <v>0</v>
      </c>
      <c r="D7" s="6" t="str">
        <f>10&amp;"."&amp;(B7+A2)&amp;"."&amp;0&amp;"."&amp;0</f>
        <v>10.34.0.0</v>
      </c>
      <c r="E7" s="6" t="str">
        <f t="shared" si="0"/>
        <v>10.34.0.1</v>
      </c>
      <c r="F7" s="6" t="s">
        <v>19</v>
      </c>
      <c r="G7" s="6" t="str">
        <f t="shared" si="1"/>
        <v>10.34.0.1</v>
      </c>
      <c r="H7" s="6" t="str">
        <f ca="1">IFERROR(__xludf.DUMMYFUNCTION("REGEXREPLACE(D7,""\.[0-9]+\.[0-9]+$"","".255.254"")"),"10.34.255.254")</f>
        <v>10.34.255.254</v>
      </c>
      <c r="I7" s="6">
        <v>10</v>
      </c>
      <c r="J7" s="20">
        <v>10</v>
      </c>
    </row>
    <row r="8" spans="1:10" ht="12.75" customHeight="1" x14ac:dyDescent="0.25">
      <c r="A8" s="22"/>
      <c r="B8" s="22"/>
      <c r="C8" s="20"/>
      <c r="D8" s="20"/>
      <c r="E8" s="20"/>
      <c r="F8" s="20"/>
      <c r="G8" s="20"/>
      <c r="H8" s="20"/>
      <c r="I8" s="20"/>
      <c r="J8" s="20"/>
    </row>
    <row r="9" spans="1:10" ht="12.75" customHeight="1" x14ac:dyDescent="0.25">
      <c r="A9" s="5" t="s">
        <v>10</v>
      </c>
      <c r="B9" s="5" t="s">
        <v>22</v>
      </c>
      <c r="C9" s="5" t="s">
        <v>23</v>
      </c>
      <c r="D9" s="5" t="s">
        <v>24</v>
      </c>
      <c r="E9" s="20"/>
      <c r="F9" s="20"/>
      <c r="G9" s="20"/>
      <c r="H9" s="20"/>
      <c r="I9" s="20"/>
      <c r="J9" s="20"/>
    </row>
    <row r="10" spans="1:10" ht="12.75" customHeight="1" x14ac:dyDescent="0.25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4.4.4.10</v>
      </c>
      <c r="E10" s="20"/>
      <c r="F10" s="20"/>
      <c r="G10" s="20"/>
      <c r="H10" s="20"/>
      <c r="I10" s="20"/>
      <c r="J10" s="20"/>
    </row>
    <row r="11" spans="1:10" ht="12.75" customHeight="1" x14ac:dyDescent="0.25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4.4.4.20</v>
      </c>
      <c r="E11" s="20"/>
      <c r="F11" s="20"/>
      <c r="G11" s="20"/>
      <c r="H11" s="20"/>
      <c r="I11" s="20"/>
      <c r="J11" s="20"/>
    </row>
    <row r="12" spans="1:10" ht="12.75" customHeight="1" x14ac:dyDescent="0.25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4.4.4.30</v>
      </c>
      <c r="E12" s="20"/>
      <c r="F12" s="20"/>
      <c r="G12" s="20"/>
      <c r="H12" s="20"/>
      <c r="I12" s="20"/>
      <c r="J12" s="20"/>
    </row>
    <row r="13" spans="1:10" ht="12.75" customHeight="1" x14ac:dyDescent="0.25">
      <c r="A13" s="20"/>
      <c r="B13" s="20"/>
      <c r="C13" s="20"/>
      <c r="D13" s="20"/>
      <c r="E13" s="20"/>
      <c r="F13" s="20"/>
      <c r="G13" s="20"/>
      <c r="H13" s="20"/>
      <c r="I13" s="20"/>
      <c r="J13" s="20"/>
    </row>
    <row r="14" spans="1:10" ht="12.75" customHeight="1" x14ac:dyDescent="0.25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9" t="s">
        <v>33</v>
      </c>
      <c r="I14" s="19" t="s">
        <v>34</v>
      </c>
      <c r="J14" s="19" t="s">
        <v>35</v>
      </c>
    </row>
    <row r="15" spans="1:10" ht="12.75" customHeight="1" x14ac:dyDescent="0.25">
      <c r="A15" s="6" t="s">
        <v>36</v>
      </c>
      <c r="B15" s="6" t="s">
        <v>18</v>
      </c>
      <c r="C15" s="6" t="str">
        <f>172&amp;"."&amp;16&amp;"."&amp;0&amp;"."&amp;(H15+A2)</f>
        <v>172.16.0.14</v>
      </c>
      <c r="D15" s="6" t="s">
        <v>37</v>
      </c>
      <c r="E15" s="6" t="str">
        <f>A2&amp;"."&amp;A2&amp;"."&amp;A2&amp;"."&amp;H15</f>
        <v>4.4.4.10</v>
      </c>
      <c r="F15" s="6"/>
      <c r="G15" s="6" t="s">
        <v>38</v>
      </c>
      <c r="H15" s="21">
        <v>10</v>
      </c>
      <c r="I15" s="21" t="b">
        <f t="array" ref="I15">_xlfn.XLOOKUP(1,( 'Site 1 (HUB)'!A:A=A15 )*( 'Site 1 (HUB)'!B:B=B15 ),'Site 1 (HUB)'!I:I)</f>
        <v>1</v>
      </c>
      <c r="J15" s="21"/>
    </row>
    <row r="16" spans="1:10" ht="12.75" customHeight="1" x14ac:dyDescent="0.25">
      <c r="A16" s="6" t="s">
        <v>39</v>
      </c>
      <c r="B16" s="6" t="s">
        <v>21</v>
      </c>
      <c r="C16" s="6" t="str">
        <f>172&amp;"."&amp;16&amp;"."&amp;0&amp;"."&amp;(H16+A2)</f>
        <v>172.16.0.34</v>
      </c>
      <c r="D16" s="6" t="s">
        <v>37</v>
      </c>
      <c r="E16" s="6" t="str">
        <f>A2&amp;"."&amp;A2&amp;"."&amp;A2&amp;"."&amp;H16</f>
        <v>4.4.4.30</v>
      </c>
      <c r="F16" s="6"/>
      <c r="G16" s="6" t="s">
        <v>38</v>
      </c>
      <c r="H16" s="21">
        <v>30</v>
      </c>
      <c r="I16" s="21" t="b">
        <f t="array" ref="I16">_xlfn.XLOOKUP(1,( 'Site 1 (HUB)'!A:A=A16 )*( 'Site 1 (HUB)'!B:B=B16 ),'Site 1 (HUB)'!I:I)</f>
        <v>1</v>
      </c>
      <c r="J16" s="21"/>
    </row>
    <row r="17" spans="1:14" ht="12.75" customHeight="1" x14ac:dyDescent="0.25">
      <c r="A17" s="6"/>
      <c r="B17" s="6"/>
      <c r="C17" s="6"/>
      <c r="D17" s="6"/>
      <c r="E17" s="6"/>
      <c r="F17" s="6"/>
      <c r="G17" s="6"/>
      <c r="H17" s="21"/>
      <c r="I17" s="21"/>
      <c r="J17" s="21"/>
    </row>
    <row r="18" spans="1:14" ht="12.75" customHeight="1" x14ac:dyDescent="0.25">
      <c r="A18" s="19" t="s">
        <v>0</v>
      </c>
      <c r="B18" s="19" t="s">
        <v>3</v>
      </c>
      <c r="C18" s="19" t="s">
        <v>4</v>
      </c>
      <c r="D18" s="19" t="s">
        <v>5</v>
      </c>
      <c r="I18" s="20"/>
      <c r="J18" s="20"/>
      <c r="K18" s="20"/>
      <c r="L18" s="20"/>
      <c r="M18" s="20"/>
      <c r="N18" s="20"/>
    </row>
    <row r="19" spans="1:14" ht="12.75" customHeight="1" x14ac:dyDescent="0.25">
      <c r="A19" s="21">
        <f>A2</f>
        <v>4</v>
      </c>
      <c r="B19" s="21" t="s">
        <v>7</v>
      </c>
      <c r="C19" s="21" t="s">
        <v>8</v>
      </c>
      <c r="D19" s="21" t="s">
        <v>9</v>
      </c>
      <c r="I19" s="20"/>
      <c r="J19" s="20"/>
      <c r="K19" s="20"/>
      <c r="L19" s="20"/>
      <c r="M19" s="20"/>
      <c r="N19" s="20"/>
    </row>
    <row r="20" spans="1:14" ht="12.75" customHeight="1" x14ac:dyDescent="0.25">
      <c r="I20" s="20"/>
      <c r="J20" s="20"/>
      <c r="K20" s="20"/>
      <c r="L20" s="20"/>
      <c r="M20" s="20"/>
      <c r="N20" s="20"/>
    </row>
    <row r="21" spans="1:14" ht="28.2" customHeight="1" x14ac:dyDescent="0.25">
      <c r="A21" s="5" t="s">
        <v>42</v>
      </c>
      <c r="B21" s="5" t="s">
        <v>43</v>
      </c>
      <c r="C21" s="5" t="s">
        <v>44</v>
      </c>
      <c r="D21" s="5" t="s">
        <v>14</v>
      </c>
      <c r="E21" s="5" t="s">
        <v>15</v>
      </c>
      <c r="F21" s="5" t="s">
        <v>45</v>
      </c>
      <c r="G21" s="19" t="s">
        <v>46</v>
      </c>
      <c r="H21" s="19" t="s">
        <v>1</v>
      </c>
      <c r="I21" s="19" t="s">
        <v>51</v>
      </c>
    </row>
    <row r="22" spans="1:14" ht="46.8" customHeight="1" x14ac:dyDescent="0.25">
      <c r="A22" s="6">
        <v>1</v>
      </c>
      <c r="B22" s="6">
        <v>10</v>
      </c>
      <c r="C22" s="6" t="str">
        <f t="shared" ref="C22:C23" si="2">LEFT($G$5,LEN($G$5)-1)&amp;(RIGHT($G$5,1)+A22)</f>
        <v>10.14.0.2</v>
      </c>
      <c r="D22" s="6" t="str">
        <f t="shared" ref="D22:D23" si="3">$E$5</f>
        <v>10.14.0.1</v>
      </c>
      <c r="E22" s="6" t="str">
        <f t="shared" ref="E22:E23" si="4">$F$5</f>
        <v>255.255.0.0</v>
      </c>
      <c r="F22" s="6" t="s">
        <v>50</v>
      </c>
      <c r="G22" s="21">
        <v>22</v>
      </c>
      <c r="H22" s="21" t="s">
        <v>47</v>
      </c>
      <c r="I22" s="21">
        <f>$G22-3</f>
        <v>19</v>
      </c>
    </row>
    <row r="23" spans="1:14" ht="12.75" customHeight="1" x14ac:dyDescent="0.25">
      <c r="A23" s="6">
        <v>2</v>
      </c>
      <c r="B23" s="6">
        <v>10</v>
      </c>
      <c r="C23" s="6" t="str">
        <f t="shared" si="2"/>
        <v>10.14.0.3</v>
      </c>
      <c r="D23" s="6" t="str">
        <f t="shared" si="3"/>
        <v>10.14.0.1</v>
      </c>
      <c r="E23" s="6" t="str">
        <f t="shared" si="4"/>
        <v>255.255.0.0</v>
      </c>
      <c r="F23" s="6" t="s">
        <v>50</v>
      </c>
      <c r="G23" s="20">
        <v>22</v>
      </c>
      <c r="H23" s="20" t="s">
        <v>48</v>
      </c>
      <c r="I23" s="20">
        <f>$G23-3</f>
        <v>19</v>
      </c>
    </row>
    <row r="24" spans="1:14" ht="12.75" customHeight="1" x14ac:dyDescent="0.25"/>
    <row r="25" spans="1:14" ht="12.75" customHeight="1" x14ac:dyDescent="0.25"/>
    <row r="26" spans="1:14" ht="12.75" customHeight="1" x14ac:dyDescent="0.25"/>
    <row r="27" spans="1:14" ht="12.75" customHeight="1" x14ac:dyDescent="0.25"/>
    <row r="28" spans="1:14" ht="12.75" customHeight="1" x14ac:dyDescent="0.25"/>
    <row r="29" spans="1:14" ht="12.75" customHeight="1" x14ac:dyDescent="0.25"/>
    <row r="30" spans="1:14" ht="12.75" customHeight="1" x14ac:dyDescent="0.25"/>
    <row r="31" spans="1:14" ht="12.75" customHeight="1" x14ac:dyDescent="0.25"/>
    <row r="32" spans="1:14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  <row r="1001" ht="12.75" customHeight="1" x14ac:dyDescent="0.25"/>
  </sheetData>
  <dataValidations count="1">
    <dataValidation type="custom" allowBlank="1" showInputMessage="1" showErrorMessage="1" sqref="F22:F23" xr:uid="{433FEDF6-DB47-4905-B9C3-A716A21F85B4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Site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2026-09-03T12:48:51Z</dcterms:modified>
</cp:coreProperties>
</file>