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"/>
    </mc:Choice>
  </mc:AlternateContent>
  <xr:revisionPtr revIDLastSave="0" documentId="13_ncr:1_{7511A592-264A-48D3-A91D-D72E2E5CAFC3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E22" i="2"/>
  <c r="A22" i="2"/>
  <c r="A19" i="2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E7" i="2" l="1"/>
  <c r="G7" i="2"/>
  <c r="E6" i="2"/>
  <c r="G6" i="2"/>
  <c r="E5" i="2"/>
  <c r="D22" i="2" s="1"/>
  <c r="G5" i="2"/>
  <c r="C22" i="2" s="1"/>
  <c r="E5" i="1"/>
  <c r="G6" i="1"/>
  <c r="G7" i="1"/>
</calcChain>
</file>

<file path=xl/sharedStrings.xml><?xml version="1.0" encoding="utf-8"?>
<sst xmlns="http://schemas.openxmlformats.org/spreadsheetml/2006/main" count="151" uniqueCount="50">
  <si>
    <t>site</t>
  </si>
  <si>
    <t>intf_prefix</t>
  </si>
  <si>
    <t>router-id</t>
  </si>
  <si>
    <t>brukernavn</t>
  </si>
  <si>
    <t>passord</t>
  </si>
  <si>
    <t>vty_lines</t>
  </si>
  <si>
    <t>admin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</si>
  <si>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</si>
  <si>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</si>
  <si>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</si>
  <si>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</si>
  <si>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</si>
  <si>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</si>
  <si>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</si>
  <si>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</si>
  <si>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</si>
  <si>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</si>
  <si>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</si>
  <si>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</si>
  <si>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</si>
  <si>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</si>
  <si>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</si>
  <si>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</si>
  <si>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</si>
  <si>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</si>
  <si>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</si>
  <si>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</si>
  <si>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</si>
  <si>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</si>
  <si>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</si>
  <si>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</si>
  <si>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</si>
  <si>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</si>
  <si>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</si>
  <si>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</si>
  <si>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</si>
  <si>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</si>
  <si>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</si>
  <si>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</si>
  <si>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</si>
  <si>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</si>
  <si>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</si>
  <si>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</si>
  <si>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</si>
  <si>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</si>
  <si>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</si>
  <si>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</si>
  <si>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</si>
  <si>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secret</t>
  </si>
  <si>
    <t>$9$0nNdTjfcaOQFlP$4VgON16XmZXlfGr4BcOzEN7OoRxfPIAcXDQ0afwx67k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</si>
</sst>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17"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16"/>
      <tableStyleElement type="headerRow" dxfId="115"/>
      <tableStyleElement type="firstRowStripe" dxfId="114"/>
      <tableStyleElement type="secondRowStripe" dxfId="113"/>
    </tableStyle>
    <tableStyle name="Site 3-style" pivot="0" count="4" xr9:uid="{00000000-0011-0000-FFFF-FFFF01000000}">
      <tableStyleElement type="wholeTable" size="0" dxfId="112"/>
      <tableStyleElement type="headerRow" dxfId="111"/>
      <tableStyleElement type="firstRowStripe" dxfId="110"/>
      <tableStyleElement type="secondRowStripe" dxfId="109"/>
    </tableStyle>
    <tableStyle name="Site 2-style" pivot="0" count="4" xr9:uid="{00000000-0011-0000-FFFF-FFFF02000000}">
      <tableStyleElement type="wholeTable" size="0" dxfId="108"/>
      <tableStyleElement type="headerRow" dxfId="107"/>
      <tableStyleElement type="firstRowStripe" dxfId="106"/>
      <tableStyleElement type="secondRowStripe" dxfId="105"/>
    </tableStyle>
    <tableStyle name="Site 4-style" pivot="0" count="4" xr9:uid="{00000000-0011-0000-FFFF-FFFF03000000}">
      <tableStyleElement type="wholeTable" size="0" dxfId="104"/>
      <tableStyleElement type="headerRow" dxfId="103"/>
      <tableStyleElement type="firstRowStripe" dxfId="102"/>
      <tableStyleElement type="secondRowStripe" dxfId="101"/>
    </tableStyle>
    <tableStyle name="Site 3-style 2" pivot="0" count="4" xr9:uid="{00000000-0011-0000-FFFF-FFFF04000000}">
      <tableStyleElement type="wholeTable" size="0" dxfId="100"/>
      <tableStyleElement type="headerRow" dxfId="99"/>
      <tableStyleElement type="firstRowStripe" dxfId="98"/>
      <tableStyleElement type="secondRowStripe" dxfId="97"/>
    </tableStyle>
    <tableStyle name="Site 1 (HUB)-style 2" pivot="0" count="4" xr9:uid="{00000000-0011-0000-FFFF-FFFF05000000}">
      <tableStyleElement type="wholeTable" size="0" dxfId="96"/>
      <tableStyleElement type="headerRow" dxfId="95"/>
      <tableStyleElement type="firstRowStripe" dxfId="94"/>
      <tableStyleElement type="secondRowStripe" dxfId="93"/>
    </tableStyle>
    <tableStyle name="Site 2-style 2" pivot="0" count="4" xr9:uid="{00000000-0011-0000-FFFF-FFFF06000000}">
      <tableStyleElement type="wholeTable" size="0" dxfId="92"/>
      <tableStyleElement type="headerRow" dxfId="91"/>
      <tableStyleElement type="firstRowStripe" dxfId="90"/>
      <tableStyleElement type="secondRowStripe" dxfId="89"/>
    </tableStyle>
    <tableStyle name="Site 3-style 3" pivot="0" count="4" xr9:uid="{00000000-0011-0000-FFFF-FFFF07000000}">
      <tableStyleElement type="wholeTable" size="0" dxfId="88"/>
      <tableStyleElement type="headerRow" dxfId="87"/>
      <tableStyleElement type="firstRowStripe" dxfId="86"/>
      <tableStyleElement type="secondRowStripe" dxfId="85"/>
    </tableStyle>
    <tableStyle name="Site 1 (HUB)-style 3" pivot="0" count="4" xr9:uid="{00000000-0011-0000-FFFF-FFFF08000000}">
      <tableStyleElement type="wholeTable" size="0" dxfId="84"/>
      <tableStyleElement type="headerRow" dxfId="83"/>
      <tableStyleElement type="firstRowStripe" dxfId="82"/>
      <tableStyleElement type="secondRowStripe" dxfId="81"/>
    </tableStyle>
    <tableStyle name="Site 4-style 2" pivot="0" count="4" xr9:uid="{00000000-0011-0000-FFFF-FFFF09000000}">
      <tableStyleElement type="wholeTable" size="0" dxfId="80"/>
      <tableStyleElement type="headerRow" dxfId="79"/>
      <tableStyleElement type="firstRowStripe" dxfId="78"/>
      <tableStyleElement type="secondRowStripe" dxfId="77"/>
    </tableStyle>
    <tableStyle name="Site 3-style 4" pivot="0" count="4" xr9:uid="{00000000-0011-0000-FFFF-FFFF0A000000}">
      <tableStyleElement type="wholeTable" size="0" dxfId="76"/>
      <tableStyleElement type="headerRow" dxfId="75"/>
      <tableStyleElement type="firstRowStripe" dxfId="74"/>
      <tableStyleElement type="secondRowStripe" dxfId="73"/>
    </tableStyle>
    <tableStyle name="Site 1 (HUB)-style 4" pivot="0" count="4" xr9:uid="{00000000-0011-0000-FFFF-FFFF0B000000}">
      <tableStyleElement type="wholeTable" size="0" dxfId="72"/>
      <tableStyleElement type="headerRow" dxfId="71"/>
      <tableStyleElement type="firstRowStripe" dxfId="70"/>
      <tableStyleElement type="secondRowStripe" dxfId="69"/>
    </tableStyle>
    <tableStyle name="Site 2-style 3" pivot="0" count="4" xr9:uid="{00000000-0011-0000-FFFF-FFFF0C000000}">
      <tableStyleElement type="wholeTable" size="0" dxfId="68"/>
      <tableStyleElement type="headerRow" dxfId="67"/>
      <tableStyleElement type="firstRowStripe" dxfId="66"/>
      <tableStyleElement type="secondRowStripe" dxfId="65"/>
    </tableStyle>
    <tableStyle name="Site 4-style 3" pivot="0" count="4" xr9:uid="{00000000-0011-0000-FFFF-FFFF0D000000}">
      <tableStyleElement type="wholeTable" size="0" dxfId="64"/>
      <tableStyleElement type="headerRow" dxfId="63"/>
      <tableStyleElement type="firstRowStripe" dxfId="62"/>
      <tableStyleElement type="secondRowStripe" dxfId="61"/>
    </tableStyle>
    <tableStyle name="Site 2-style 4" pivot="0" count="4" xr9:uid="{00000000-0011-0000-FFFF-FFFF0E000000}">
      <tableStyleElement type="wholeTable" size="0" dxfId="60"/>
      <tableStyleElement type="headerRow" dxfId="59"/>
      <tableStyleElement type="firstRowStripe" dxfId="58"/>
      <tableStyleElement type="secondRowStripe" dxfId="57"/>
    </tableStyle>
    <tableStyle name="Site 4-style 4" pivot="0" count="4" xr9:uid="{00000000-0011-0000-FFFF-FFFF0F000000}">
      <tableStyleElement type="wholeTable" size="0" dxfId="56"/>
      <tableStyleElement type="headerRow" dxfId="55"/>
      <tableStyleElement type="firstRowStripe" dxfId="54"/>
      <tableStyleElement type="secondRowStripe" dxfId="5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G2">
  <tableColumns count="7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754ADF79-920D-4601-911B-DB20F4E9EEB9}" name="secret" dataDxfId="52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51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E19" headerRowDxfId="50" dataDxfId="49" totalsRowDxfId="48">
  <tableColumns count="5">
    <tableColumn id="1" xr3:uid="{2906F324-3A93-4FB9-9A3C-D48E0E017DE1}" name="site" dataDxfId="47">
      <calculatedColumnFormula>A2</calculatedColumnFormula>
    </tableColumn>
    <tableColumn id="2" xr3:uid="{EACB8E41-CE14-43F2-9E46-F1D9E473C840}" name="brukernavn" dataDxfId="46"/>
    <tableColumn id="4" xr3:uid="{BDD570DD-38B1-4E0D-8E69-41BC5527F423}" name="passord" dataDxfId="45"/>
    <tableColumn id="5" xr3:uid="{0C9E5C25-E441-46FF-92BD-E2BEA9C8A2C6}" name="vty_lines" dataDxfId="44"/>
    <tableColumn id="3" xr3:uid="{E15E69AB-85DA-4C56-B495-1EB315268322}" name="secret" dataDxfId="43" totalsRowDxfId="42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2" insertRow="1" headerRowDxfId="41" totalsRowDxfId="40">
  <tableColumns count="9">
    <tableColumn id="1" xr3:uid="{1B73E0C7-C498-41F8-BAC8-7E845E00CB65}" name="SW" dataDxfId="39"/>
    <tableColumn id="2" xr3:uid="{55746631-7369-4BB6-92AF-BC912FBA9E5B}" name="MGMT Vlan" dataDxfId="38"/>
    <tableColumn id="3" xr3:uid="{33D1D208-4592-452F-9EE7-3DD24275FDDC}" name="MGMT ip" dataDxfId="37">
      <calculatedColumnFormula>LEFT($G$5,LEN($G$5)-1)&amp;(RIGHT($G$5,1)+A22)</calculatedColumnFormula>
    </tableColumn>
    <tableColumn id="4" xr3:uid="{300ED09A-B325-432A-824C-60A4545FEF10}" name="gateway" dataDxfId="36">
      <calculatedColumnFormula>$E$5</calculatedColumnFormula>
    </tableColumn>
    <tableColumn id="5" xr3:uid="{DE41E3AD-2DD4-4E00-AAA7-E16DA0B7B327}" name="mask" dataDxfId="35">
      <calculatedColumnFormula>$F$5</calculatedColumnFormula>
    </tableColumn>
    <tableColumn id="6" xr3:uid="{10A4DA4A-2584-4B29-9285-F3E796366BC6}" name="vlan-antall" dataDxfId="34" totalsRowDxfId="33"/>
    <tableColumn id="7" xr3:uid="{40A0DCDD-4793-4C04-AB5A-E199F256A0D9}" name="num_ports" dataDxfId="32" totalsRowDxfId="31"/>
    <tableColumn id="8" xr3:uid="{D6B9E8CD-F7E4-4AF1-8D5B-45A78B5D62E7}" name="intf_prefix" dataDxfId="30" totalsRowDxfId="29"/>
    <tableColumn id="9" xr3:uid="{03637906-AC3E-4DB7-AEDB-025CDAD6ADBA}" name="num_port_ledig" dataDxfId="28" totalsRowDxfId="27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G2">
  <tableColumns count="7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  <tableColumn id="7" xr3:uid="{AB00FC62-D408-4EC3-87DF-1FBB1D6A67CC}" name="secret" dataDxfId="26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25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E19" headerRowDxfId="24" dataDxfId="23" totalsRowDxfId="22">
  <tableColumns count="5">
    <tableColumn id="1" xr3:uid="{FCAD462F-C9DE-45E3-B342-8BC685D1666E}" name="site" dataDxfId="21">
      <calculatedColumnFormula>A2</calculatedColumnFormula>
    </tableColumn>
    <tableColumn id="4" xr3:uid="{A37D0432-8751-44ED-8106-422243C1F04B}" name="brukernavn" dataDxfId="20"/>
    <tableColumn id="5" xr3:uid="{1A9A17E0-8442-4E89-96DC-BC0A8BECBBCA}" name="passord" dataDxfId="19"/>
    <tableColumn id="3" xr3:uid="{F0C81F5E-B27A-43FB-83C1-1FEB580854DE}" name="vty_lines" dataDxfId="18" totalsRowDxfId="17"/>
    <tableColumn id="2" xr3:uid="{E8DA5B0D-4B09-4D1E-BDAB-BAC231407C4D}" name="secret" dataDxfId="16" totalsRowDxfId="15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1:I22" headerRowDxfId="14" totalsRowDxfId="13">
  <tableColumns count="9">
    <tableColumn id="1" xr3:uid="{15F3A197-501D-4FB4-9993-D97C276F45D1}" name="SW" dataDxfId="12">
      <calculatedColumnFormula>ROW()-21</calculatedColumnFormula>
    </tableColumn>
    <tableColumn id="2" xr3:uid="{74DD496A-588F-4B13-B651-6375E15475E0}" name="MGMT Vlan" dataDxfId="11"/>
    <tableColumn id="3" xr3:uid="{DADAFDFC-5D9A-4BEF-83FF-73C8B73914A7}" name="MGMT ip" dataDxfId="10">
      <calculatedColumnFormula>LEFT($G$5,LEN($G$5)-1)&amp;(RIGHT($G$5,1)+A22)</calculatedColumnFormula>
    </tableColumn>
    <tableColumn id="4" xr3:uid="{42D46B63-EECB-4A1E-9799-D2E7774B9BCD}" name="gateway" dataDxfId="9">
      <calculatedColumnFormula>$E$5</calculatedColumnFormula>
    </tableColumn>
    <tableColumn id="5" xr3:uid="{0BA7E9B1-43B9-44A7-AEF2-587DFD6DB8EE}" name="mask" dataDxfId="8">
      <calculatedColumnFormula>$F$5</calculatedColumnFormula>
    </tableColumn>
    <tableColumn id="6" xr3:uid="{5B7AA8BC-D315-4E8D-8528-C2AE65848FDF}" name="vlan-antall" dataDxfId="7" totalsRowDxfId="6"/>
    <tableColumn id="7" xr3:uid="{1088FF3C-FB1C-4E78-BE34-551D9AC36C3C}" name="num_ports" dataDxfId="5" totalsRowDxfId="4"/>
    <tableColumn id="8" xr3:uid="{19FD676B-E225-4461-8031-718593F85D50}" name="intf_prefix" dataDxfId="3" totalsRowDxfId="2"/>
    <tableColumn id="9" xr3:uid="{B26584E6-2A20-4139-9852-FBB25CD74431}" name="num_port_ledig" dataDxfId="1" totalsRowDxfId="0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workbookViewId="0">
      <pane ySplit="1" topLeftCell="A2" activePane="bottomLeft" state="frozen"/>
      <selection pane="bottomLeft" activeCell="C29" sqref="C29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</row>
    <row r="2" spans="1:11" ht="15.75" customHeight="1" x14ac:dyDescent="0.2">
      <c r="A2" s="2">
        <v>1</v>
      </c>
      <c r="B2" s="2" t="s">
        <v>45</v>
      </c>
      <c r="C2" s="2" t="str">
        <f>A2&amp;"."&amp;A2&amp;"."&amp;A2&amp;".0"</f>
        <v>1.1.1.0</v>
      </c>
      <c r="D2" s="2" t="s">
        <v>6</v>
      </c>
      <c r="E2" s="2" t="s">
        <v>49</v>
      </c>
      <c r="F2" s="2" t="s">
        <v>7</v>
      </c>
      <c r="G2" s="2" t="s">
        <v>49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17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17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17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5" t="s">
        <v>29</v>
      </c>
      <c r="G14" s="5" t="s">
        <v>30</v>
      </c>
      <c r="H14" s="1" t="s">
        <v>31</v>
      </c>
      <c r="I14" s="1" t="s">
        <v>32</v>
      </c>
      <c r="J14" s="1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172&amp;"."&amp;16&amp;"."&amp;0&amp;"."&amp;(H15+A2)</f>
        <v>172.16.0.11</v>
      </c>
      <c r="D15" s="6" t="s">
        <v>35</v>
      </c>
      <c r="E15" s="6" t="str">
        <f>A2&amp;"."&amp;A2&amp;"."&amp;A2&amp;"."&amp;H15</f>
        <v>1.1.1.10</v>
      </c>
      <c r="F15" s="6"/>
      <c r="G15" s="6" t="s">
        <v>36</v>
      </c>
      <c r="H15" s="2">
        <v>10</v>
      </c>
      <c r="I15" s="2"/>
      <c r="J15" s="2"/>
    </row>
    <row r="16" spans="1:11" ht="15.75" customHeight="1" x14ac:dyDescent="0.2">
      <c r="A16" s="6" t="s">
        <v>37</v>
      </c>
      <c r="B16" s="6" t="s">
        <v>19</v>
      </c>
      <c r="C16" s="6" t="str">
        <f>172&amp;"."&amp;16&amp;"."&amp;0&amp;"."&amp;(H16+A2)</f>
        <v>172.16.0.31</v>
      </c>
      <c r="D16" s="6" t="s">
        <v>35</v>
      </c>
      <c r="E16" s="6" t="str">
        <f>A2&amp;"."&amp;A2&amp;"."&amp;A2&amp;"."&amp;H16</f>
        <v>1.1.1.30</v>
      </c>
      <c r="F16" s="6"/>
      <c r="G16" s="6" t="s">
        <v>36</v>
      </c>
      <c r="H16" s="2">
        <v>30</v>
      </c>
      <c r="I16" s="2" t="b">
        <v>1</v>
      </c>
      <c r="J16" s="2"/>
    </row>
    <row r="17" spans="1:9" ht="15.75" customHeight="1" x14ac:dyDescent="0.2">
      <c r="A17" s="9"/>
      <c r="B17" s="9"/>
      <c r="C17" s="9"/>
      <c r="D17" s="9"/>
      <c r="E17" s="9"/>
      <c r="F17" s="9"/>
      <c r="G17" s="9"/>
    </row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  <c r="E18" s="10" t="s">
        <v>48</v>
      </c>
    </row>
    <row r="19" spans="1:9" ht="15.75" customHeight="1" x14ac:dyDescent="0.2">
      <c r="A19" s="11">
        <f>A2</f>
        <v>1</v>
      </c>
      <c r="B19" s="11" t="s">
        <v>6</v>
      </c>
      <c r="C19" s="11" t="s">
        <v>49</v>
      </c>
      <c r="D19" s="11" t="s">
        <v>7</v>
      </c>
      <c r="E19" s="11" t="s">
        <v>49</v>
      </c>
    </row>
    <row r="20" spans="1:9" ht="15.75" customHeight="1" x14ac:dyDescent="0.2"/>
    <row r="21" spans="1:9" ht="15.75" customHeight="1" x14ac:dyDescent="0.2">
      <c r="A21" s="5" t="s">
        <v>40</v>
      </c>
      <c r="B21" s="5" t="s">
        <v>41</v>
      </c>
      <c r="C21" s="5" t="s">
        <v>42</v>
      </c>
      <c r="D21" s="5" t="s">
        <v>12</v>
      </c>
      <c r="E21" s="5" t="s">
        <v>13</v>
      </c>
      <c r="F21" s="5" t="s">
        <v>43</v>
      </c>
      <c r="G21" s="10" t="s">
        <v>44</v>
      </c>
      <c r="H21" s="10" t="s">
        <v>1</v>
      </c>
      <c r="I21" s="10" t="s">
        <v>46</v>
      </c>
    </row>
    <row r="22" spans="1:9" ht="15.75" customHeight="1" x14ac:dyDescent="0.2">
      <c r="A22" s="6"/>
      <c r="B22" s="6"/>
      <c r="C22" s="6"/>
      <c r="D22" s="6"/>
      <c r="E22" s="6"/>
      <c r="F22" s="6"/>
      <c r="G22" s="11"/>
      <c r="H22" s="11"/>
      <c r="I22" s="11"/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F22" xr:uid="{D03F78DE-2965-48F5-B2E0-691EFE7B1D70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>
      <pane ySplit="1" topLeftCell="A2" activePane="bottomLeft" state="frozen"/>
      <selection pane="bottomLeft" activeCell="G18" sqref="G18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</row>
    <row r="2" spans="1:11" ht="15.75" customHeight="1" x14ac:dyDescent="0.2">
      <c r="A2" s="2">
        <v>2</v>
      </c>
      <c r="B2" s="2" t="s">
        <v>45</v>
      </c>
      <c r="C2" s="2" t="str">
        <f>A2&amp;"."&amp;A2&amp;"."&amp;A2&amp;".0"</f>
        <v>2.2.2.0</v>
      </c>
      <c r="D2" s="2" t="s">
        <v>6</v>
      </c>
      <c r="E2" s="2" t="s">
        <v>49</v>
      </c>
      <c r="F2" s="2" t="s">
        <v>7</v>
      </c>
      <c r="G2" s="2" t="s">
        <v>49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12" t="s">
        <v>14</v>
      </c>
      <c r="H4" s="12" t="s">
        <v>15</v>
      </c>
      <c r="I4" s="12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17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17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17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12" t="s">
        <v>29</v>
      </c>
      <c r="G14" s="12" t="s">
        <v>30</v>
      </c>
      <c r="H14" s="13" t="s">
        <v>31</v>
      </c>
      <c r="I14" s="13" t="s">
        <v>32</v>
      </c>
      <c r="J14" s="13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172&amp;"."&amp;16&amp;"."&amp;0&amp;"."&amp;(H15+A2)</f>
        <v>172.16.0.12</v>
      </c>
      <c r="D15" s="6" t="s">
        <v>35</v>
      </c>
      <c r="E15" s="6" t="str">
        <f>A2&amp;"."&amp;A2&amp;"."&amp;A2&amp;"."&amp;H15</f>
        <v>2.2.2.10</v>
      </c>
      <c r="F15" s="6"/>
      <c r="G15" s="6" t="s">
        <v>36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37</v>
      </c>
      <c r="B16" s="6" t="s">
        <v>19</v>
      </c>
      <c r="C16" s="6" t="str">
        <f>172&amp;"."&amp;16&amp;"."&amp;0&amp;"."&amp;(H16+A2)</f>
        <v>172.16.0.32</v>
      </c>
      <c r="D16" s="6" t="s">
        <v>35</v>
      </c>
      <c r="E16" s="6" t="str">
        <f>A2&amp;"."&amp;A2&amp;"."&amp;A2&amp;"."&amp;H16</f>
        <v>2.2.2.30</v>
      </c>
      <c r="F16" s="6"/>
      <c r="G16" s="6" t="s">
        <v>36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"/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  <c r="E18" s="10" t="s">
        <v>48</v>
      </c>
    </row>
    <row r="19" spans="1:9" ht="15.75" customHeight="1" x14ac:dyDescent="0.2">
      <c r="A19" s="11">
        <f>A2</f>
        <v>2</v>
      </c>
      <c r="B19" s="11" t="s">
        <v>6</v>
      </c>
      <c r="C19" s="11" t="s">
        <v>49</v>
      </c>
      <c r="D19" s="11" t="s">
        <v>7</v>
      </c>
      <c r="E19" s="11" t="s">
        <v>49</v>
      </c>
    </row>
    <row r="20" spans="1:9" ht="15.75" customHeight="1" x14ac:dyDescent="0.2"/>
    <row r="21" spans="1:9" ht="26.25" customHeight="1" x14ac:dyDescent="0.2">
      <c r="A21" s="5" t="s">
        <v>40</v>
      </c>
      <c r="B21" s="5" t="s">
        <v>41</v>
      </c>
      <c r="C21" s="5" t="s">
        <v>42</v>
      </c>
      <c r="D21" s="5" t="s">
        <v>12</v>
      </c>
      <c r="E21" s="5" t="s">
        <v>13</v>
      </c>
      <c r="F21" s="5" t="s">
        <v>43</v>
      </c>
      <c r="G21" s="10" t="s">
        <v>44</v>
      </c>
      <c r="H21" s="10" t="s">
        <v>1</v>
      </c>
      <c r="I21" s="10" t="s">
        <v>46</v>
      </c>
    </row>
    <row r="22" spans="1:9" ht="15.75" customHeight="1" x14ac:dyDescent="0.2">
      <c r="A22" s="6">
        <f>ROW()-21</f>
        <v>1</v>
      </c>
      <c r="B22" s="6">
        <v>10</v>
      </c>
      <c r="C22" s="6" t="str">
        <f>LEFT($G$5,LEN($G$5)-1)&amp;(RIGHT($G$5,1)+A22)</f>
        <v>10.12.0.2</v>
      </c>
      <c r="D22" s="6" t="str">
        <f>$E$5</f>
        <v>10.12.0.1</v>
      </c>
      <c r="E22" s="6" t="str">
        <f>$F$5</f>
        <v>255.255.0.0</v>
      </c>
      <c r="F22" s="6">
        <v>20.100000000000001</v>
      </c>
      <c r="G22" s="11">
        <v>4</v>
      </c>
      <c r="H22" s="11" t="s">
        <v>45</v>
      </c>
      <c r="I22" s="11">
        <f>$G22-3</f>
        <v>1</v>
      </c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F22" xr:uid="{755C67B3-35A1-41CF-AFAD-859DFFCA6014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2026-09-05T14:17:05Z</dcterms:modified>
</cp:coreProperties>
</file>